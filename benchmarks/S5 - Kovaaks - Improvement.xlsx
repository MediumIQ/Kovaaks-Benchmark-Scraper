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Novice" sheetId="2" r:id="rId6"/>
    <sheet state="visible" name="Intermediate" sheetId="3" r:id="rId7"/>
    <sheet state="visible" name="Advanced" sheetId="4" r:id="rId8"/>
    <sheet state="visible" name="Changelog" sheetId="5" r:id="rId9"/>
  </sheets>
  <definedNames>
    <definedName name="row_filter">#REF!</definedName>
  </definedNames>
  <calcPr/>
</workbook>
</file>

<file path=xl/sharedStrings.xml><?xml version="1.0" encoding="utf-8"?>
<sst xmlns="http://schemas.openxmlformats.org/spreadsheetml/2006/main" count="89" uniqueCount="54">
  <si>
    <t>Please make a copy of this sheet: File -&gt; Make a Copy (Must be logged in to Google / We do not grant edit access)</t>
  </si>
  <si>
    <t>SEASON 5 BETA</t>
  </si>
  <si>
    <t xml:space="preserve"> How this sheet works</t>
  </si>
  <si>
    <r>
      <rPr>
        <rFont val="Blinker"/>
        <color theme="1"/>
        <sz val="9.0"/>
      </rPr>
      <t xml:space="preserve"> Edit this sheet by going to </t>
    </r>
    <r>
      <rPr>
        <rFont val="Calibri"/>
        <b/>
        <color theme="1"/>
        <sz val="9.0"/>
      </rPr>
      <t>File → Make a copy</t>
    </r>
    <r>
      <rPr>
        <rFont val="Blinker"/>
        <color theme="1"/>
        <sz val="9.0"/>
      </rPr>
      <t>. If the sheet says it is outdated, simply head over to the resources channel and make a new copy.</t>
    </r>
  </si>
  <si>
    <t xml:space="preserve"> Our benchmarks are divided in 3 levels: Novice, Intermediate and Advanced</t>
  </si>
  <si>
    <t xml:space="preserve"> New players should play the Novice benchmarks</t>
  </si>
  <si>
    <t>Guideline: Aspiring Platinum players are recommended to achieve Gold on Novice to be able to move on to the Intermediate benchmarks</t>
  </si>
  <si>
    <t>Guideline: Aspiring Grandmaster players are recommended to achieve Master on Intermediate to be able to move on to the Advanced benchmarks</t>
  </si>
  <si>
    <t xml:space="preserve"> In order to receive a rank you need to set a score on a scenario from each of the nine subcategories (Dynamic, Static, Linear, Precise, Reactive, Control, Speed, Evasive, and Stability)</t>
  </si>
  <si>
    <t xml:space="preserve"> Only your highest score in a subcategory will count towards your rank</t>
  </si>
  <si>
    <r>
      <rPr>
        <rFont val="Blinker"/>
        <color theme="1"/>
        <sz val="9.0"/>
      </rPr>
      <t xml:space="preserve"> Your overall energy is an average of your subcategory energy, with lower scores weighted more heavily (</t>
    </r>
    <r>
      <rPr>
        <rFont val="Blinker"/>
        <color rgb="FF1155CC"/>
        <sz val="9.0"/>
        <u/>
      </rPr>
      <t>harmonic mean</t>
    </r>
    <r>
      <rPr>
        <rFont val="Blinker"/>
        <color theme="1"/>
        <sz val="9.0"/>
      </rPr>
      <t>)</t>
    </r>
  </si>
  <si>
    <t xml:space="preserve"> Pushing your score further to the next rank target awards more energy</t>
  </si>
  <si>
    <t xml:space="preserve"> This allows you to acquire ranks without being equally skilled in each aiming subcategory</t>
  </si>
  <si>
    <t xml:space="preserve"> Complete roles are available starting from Intermediate and above</t>
  </si>
  <si>
    <t xml:space="preserve"> The chart below shows the  energy required for each rank</t>
  </si>
  <si>
    <t>Difficulty</t>
  </si>
  <si>
    <t>Click to navigate to the Novice Benchmarks</t>
  </si>
  <si>
    <t>Click to navigate to the Intermediate Benchmarks</t>
  </si>
  <si>
    <t>Click to navigate to the Advanced Benchmarks</t>
  </si>
  <si>
    <t>Novice</t>
  </si>
  <si>
    <t>Intermediate</t>
  </si>
  <si>
    <t>Advanced</t>
  </si>
  <si>
    <t>Rank Name</t>
  </si>
  <si>
    <t>Energy Threshold</t>
  </si>
  <si>
    <t>Socials</t>
  </si>
  <si>
    <t>Twitter↗</t>
  </si>
  <si>
    <t>YouTube↗</t>
  </si>
  <si>
    <r>
      <rPr>
        <rFont val="Blinker"/>
        <color rgb="FFFFFFFF"/>
        <sz val="9.0"/>
      </rPr>
      <t xml:space="preserve">Voltaic KvKs </t>
    </r>
    <r>
      <rPr>
        <rFont val="Blinker"/>
        <color rgb="FF37ECA6"/>
        <sz val="9.0"/>
      </rPr>
      <t xml:space="preserve">Novice </t>
    </r>
    <r>
      <rPr>
        <rFont val="Blinker"/>
        <color rgb="FFFFFFFF"/>
        <sz val="9.0"/>
      </rPr>
      <t>Benchmarks S5 BETA</t>
    </r>
  </si>
  <si>
    <t>Energy</t>
  </si>
  <si>
    <t>Scenario</t>
  </si>
  <si>
    <t>High Score</t>
  </si>
  <si>
    <t>Progress</t>
  </si>
  <si>
    <t>Clicking</t>
  </si>
  <si>
    <t>Dynamic</t>
  </si>
  <si>
    <t>Static</t>
  </si>
  <si>
    <t>Linear</t>
  </si>
  <si>
    <t>Tracking</t>
  </si>
  <si>
    <t>Precise</t>
  </si>
  <si>
    <t>Reactive</t>
  </si>
  <si>
    <t>Control</t>
  </si>
  <si>
    <t>Switching</t>
  </si>
  <si>
    <t>Speed</t>
  </si>
  <si>
    <t>Evasive</t>
  </si>
  <si>
    <t>Stability</t>
  </si>
  <si>
    <t>Sharecode</t>
  </si>
  <si>
    <t>KovaaKsBouncingSilverBinding</t>
  </si>
  <si>
    <r>
      <rPr>
        <rFont val="Calibri"/>
        <color rgb="FFFFFFFF"/>
      </rPr>
      <t>Find more resources in</t>
    </r>
    <r>
      <rPr>
        <rFont val="Calibri"/>
        <color rgb="FF24DDD8"/>
      </rPr>
      <t xml:space="preserve"> </t>
    </r>
    <r>
      <rPr>
        <rFont val="Calibri"/>
        <color rgb="FF24DDD8"/>
        <u/>
      </rPr>
      <t>discord.gg/voltaic</t>
    </r>
  </si>
  <si>
    <r>
      <rPr>
        <rFont val="Blinker"/>
        <color rgb="FFFFFFFF"/>
        <sz val="9.0"/>
      </rPr>
      <t xml:space="preserve">Voltaic KvKs </t>
    </r>
    <r>
      <rPr>
        <rFont val="Blinker"/>
        <color rgb="FFFFAB54"/>
        <sz val="9.0"/>
      </rPr>
      <t xml:space="preserve">Intermediate </t>
    </r>
    <r>
      <rPr>
        <rFont val="Blinker"/>
        <color rgb="FFFFFFFF"/>
        <sz val="9.0"/>
      </rPr>
      <t>Benchmarks S5 BETA</t>
    </r>
  </si>
  <si>
    <t>KovaaKsBottingShinyDoor</t>
  </si>
  <si>
    <r>
      <rPr>
        <rFont val="Calibri"/>
        <color rgb="FFFFFFFF"/>
      </rPr>
      <t>Find more resources in</t>
    </r>
    <r>
      <rPr>
        <rFont val="Calibri"/>
        <color rgb="FF24DDD8"/>
      </rPr>
      <t xml:space="preserve"> </t>
    </r>
    <r>
      <rPr>
        <rFont val="Calibri"/>
        <color rgb="FF24DDD8"/>
        <u/>
      </rPr>
      <t>discord.gg/voltaic</t>
    </r>
  </si>
  <si>
    <r>
      <rPr>
        <rFont val="Blinker"/>
        <color rgb="FFFFFFFF"/>
        <sz val="9.0"/>
      </rPr>
      <t xml:space="preserve">Voltaic KvKs </t>
    </r>
    <r>
      <rPr>
        <rFont val="Blinker"/>
        <color rgb="FFFC596F"/>
        <sz val="9.0"/>
      </rPr>
      <t>Advanced</t>
    </r>
    <r>
      <rPr>
        <rFont val="Blinker"/>
        <color rgb="FFFFFFFF"/>
        <sz val="9.0"/>
      </rPr>
      <t xml:space="preserve"> Benchmarks S5 BETA</t>
    </r>
  </si>
  <si>
    <t>Avg Score</t>
  </si>
  <si>
    <t>KovaaKsBobbingSepiaBuff</t>
  </si>
  <si>
    <r>
      <rPr>
        <rFont val="Calibri"/>
        <color rgb="FFFFFFFF"/>
      </rPr>
      <t>Find more resources in</t>
    </r>
    <r>
      <rPr>
        <rFont val="Calibri"/>
        <color rgb="FF24DDD8"/>
      </rPr>
      <t xml:space="preserve"> </t>
    </r>
    <r>
      <rPr>
        <rFont val="Calibri"/>
        <color rgb="FF24DDD8"/>
        <u/>
      </rPr>
      <t>discord.gg/voltaic</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</si>
</sst>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 &quot;@"/>
    <numFmt numFmtId="165" formatCode="00"/>
  </numFmts>
  <fonts count="37">
    <font>
      <sz val="10.0"/>
      <color rgb="FF000000"/>
      <name val="Roboto"/>
      <scheme val="minor"/>
    </font>
    <font>
      <sz val="10.0"/>
      <color rgb="FF000000"/>
      <name val="Blinker"/>
    </font>
    <font>
      <sz val="14.0"/>
      <color rgb="FFFFFFFF"/>
      <name val="Goldman"/>
    </font>
    <font>
      <sz val="9.0"/>
      <color rgb="FFFFFFFF"/>
      <name val="Blinker"/>
    </font>
    <font>
      <sz val="9.0"/>
      <color theme="1"/>
      <name val="Blinker"/>
    </font>
    <font>
      <u/>
      <sz val="9.0"/>
      <color theme="1"/>
      <name val="Blinker"/>
    </font>
    <font>
      <sz val="9.0"/>
      <color rgb="FF00784A"/>
      <name val="Blinker"/>
    </font>
    <font/>
    <font>
      <sz val="9.0"/>
      <color rgb="FFAA7238"/>
      <name val="Blinker"/>
    </font>
    <font>
      <sz val="9.0"/>
      <color rgb="FFA83B4A"/>
      <name val="Blinker"/>
    </font>
    <font>
      <sz val="9.0"/>
      <color rgb="FF000000"/>
      <name val="Blinker"/>
    </font>
    <font>
      <sz val="10.0"/>
      <color rgb="FF00FF00"/>
      <name val="Calibri"/>
    </font>
    <font>
      <b/>
      <sz val="10.0"/>
      <color rgb="FFFFFFFF"/>
      <name val="Calibri"/>
    </font>
    <font>
      <b/>
      <u/>
      <sz val="10.0"/>
      <color rgb="FFFFFFFF"/>
      <name val="Calibri"/>
    </font>
    <font>
      <u/>
      <sz val="10.0"/>
      <color rgb="FFFFFFFF"/>
      <name val="Calibri"/>
    </font>
    <font>
      <b/>
      <sz val="9.0"/>
      <color rgb="FFFFFFFF"/>
      <name val="Blinker"/>
    </font>
    <font>
      <sz val="9.0"/>
      <color theme="0"/>
      <name val="Blinker"/>
    </font>
    <font>
      <u/>
      <sz val="9.0"/>
      <color rgb="FF000000"/>
      <name val="Blinker"/>
    </font>
    <font>
      <color theme="1"/>
      <name val="Roboto"/>
    </font>
    <font>
      <u/>
      <sz val="9.0"/>
      <color rgb="FF000000"/>
      <name val="Blinker"/>
    </font>
    <font>
      <u/>
      <sz val="9.0"/>
      <color rgb="FF000000"/>
      <name val="Blinker"/>
    </font>
    <font>
      <u/>
      <sz val="9.0"/>
      <color rgb="FF000000"/>
      <name val="Blinker"/>
    </font>
    <font>
      <u/>
      <sz val="9.0"/>
      <color rgb="FF000000"/>
      <name val="Blinker"/>
    </font>
    <font>
      <u/>
      <sz val="9.0"/>
      <color rgb="FF000000"/>
      <name val="Blinker"/>
    </font>
    <font>
      <u/>
      <sz val="9.0"/>
      <color rgb="FF000000"/>
      <name val="Blinker"/>
    </font>
    <font>
      <u/>
      <sz val="9.0"/>
      <color rgb="FF000000"/>
      <name val="Blinker"/>
    </font>
    <font>
      <u/>
      <sz val="9.0"/>
      <color rgb="FF000000"/>
      <name val="Blinker"/>
    </font>
    <font>
      <u/>
      <sz val="9.0"/>
      <color rgb="FF000000"/>
      <name val="Blinker"/>
    </font>
    <font>
      <color rgb="FFFFFFFF"/>
      <name val="Blinker"/>
    </font>
    <font>
      <sz val="9.0"/>
      <color rgb="FF37ECA6"/>
      <name val="Blinker"/>
    </font>
    <font>
      <b/>
      <u/>
      <color rgb="FFFFFFFF"/>
      <name val="Calibri"/>
    </font>
    <font>
      <sz val="10.0"/>
      <color rgb="FF37ECA6"/>
      <name val="Blinker"/>
    </font>
    <font>
      <u/>
      <color rgb="FFFFFFFF"/>
      <name val="Calibri"/>
    </font>
    <font>
      <sz val="9.0"/>
      <color rgb="FFFFAB54"/>
      <name val="Blinker"/>
    </font>
    <font>
      <sz val="10.0"/>
      <color rgb="FFFFAB54"/>
      <name val="Blinker"/>
    </font>
    <font>
      <sz val="9.0"/>
      <color rgb="FFFC596F"/>
      <name val="Blinker"/>
    </font>
    <font>
      <sz val="10.0"/>
      <color rgb="FFFC596F"/>
      <name val="Blinker"/>
    </font>
  </fonts>
  <fills count="75">
    <fill>
      <patternFill patternType="none"/>
    </fill>
    <fill>
      <patternFill patternType="lightGray"/>
    </fill>
    <fill>
      <patternFill patternType="solid">
        <fgColor rgb="FFFFF2CC"/>
        <bgColor rgb="FFFFF2CC"/>
      </patternFill>
    </fill>
    <fill>
      <patternFill patternType="solid">
        <fgColor rgb="FF20124D"/>
        <bgColor rgb="FF20124D"/>
      </patternFill>
    </fill>
    <fill>
      <patternFill patternType="solid">
        <fgColor rgb="FF674EA7"/>
        <bgColor rgb="FF674EA7"/>
      </patternFill>
    </fill>
    <fill>
      <patternFill patternType="solid">
        <fgColor rgb="FFD9D2E9"/>
        <bgColor rgb="FFD9D2E9"/>
      </patternFill>
    </fill>
    <fill>
      <patternFill patternType="solid">
        <fgColor rgb="FFAAE6CF"/>
        <bgColor rgb="FFAAE6CF"/>
      </patternFill>
    </fill>
    <fill>
      <patternFill patternType="solid">
        <fgColor rgb="FFFFE3C6"/>
        <bgColor rgb="FFFFE3C6"/>
      </patternFill>
    </fill>
    <fill>
      <patternFill patternType="solid">
        <fgColor rgb="FFFEC7CF"/>
        <bgColor rgb="FFFEC7CF"/>
      </patternFill>
    </fill>
    <fill>
      <patternFill patternType="solid">
        <fgColor rgb="FF00B56F"/>
        <bgColor rgb="FF00B56F"/>
      </patternFill>
    </fill>
    <fill>
      <patternFill patternType="solid">
        <fgColor rgb="FFFFAB54"/>
        <bgColor rgb="FFFFAB54"/>
      </patternFill>
    </fill>
    <fill>
      <patternFill patternType="solid">
        <fgColor rgb="FFFC596F"/>
        <bgColor rgb="FFFC596F"/>
      </patternFill>
    </fill>
    <fill>
      <patternFill patternType="solid">
        <fgColor rgb="FF999999"/>
        <bgColor rgb="FF999999"/>
      </patternFill>
    </fill>
    <fill>
      <patternFill patternType="solid">
        <fgColor rgb="FFFF9900"/>
        <bgColor rgb="FFFF9900"/>
      </patternFill>
    </fill>
    <fill>
      <patternFill patternType="solid">
        <fgColor rgb="FFCBD9E6"/>
        <bgColor rgb="FFCBD9E6"/>
      </patternFill>
    </fill>
    <fill>
      <patternFill patternType="solid">
        <fgColor rgb="FFCAB148"/>
        <bgColor rgb="FFCAB148"/>
      </patternFill>
    </fill>
    <fill>
      <patternFill patternType="solid">
        <fgColor rgb="FF2FCFC2"/>
        <bgColor rgb="FF2FCFC2"/>
      </patternFill>
    </fill>
    <fill>
      <patternFill patternType="solid">
        <fgColor rgb="FFB9F2FF"/>
        <bgColor rgb="FFB9F2FF"/>
      </patternFill>
    </fill>
    <fill>
      <patternFill patternType="solid">
        <fgColor rgb="FF85FA85"/>
        <bgColor rgb="FF85FA85"/>
      </patternFill>
    </fill>
    <fill>
      <patternFill patternType="solid">
        <fgColor rgb="FFEC44CA"/>
        <bgColor rgb="FFEC44CA"/>
      </patternFill>
    </fill>
    <fill>
      <patternFill patternType="solid">
        <fgColor rgb="FFFFD700"/>
        <bgColor rgb="FFFFD700"/>
      </patternFill>
    </fill>
    <fill>
      <patternFill patternType="solid">
        <fgColor rgb="FF7900FF"/>
        <bgColor rgb="FF7900FF"/>
      </patternFill>
    </fill>
    <fill>
      <patternFill patternType="solid">
        <fgColor rgb="FFFF2262"/>
        <bgColor rgb="FFFF2262"/>
      </patternFill>
    </fill>
    <fill>
      <patternFill patternType="solid">
        <fgColor theme="1"/>
        <bgColor theme="1"/>
      </patternFill>
    </fill>
    <fill>
      <patternFill patternType="solid">
        <fgColor rgb="FF8E7CC3"/>
        <bgColor rgb="FF8E7CC3"/>
      </patternFill>
    </fill>
    <fill>
      <patternFill patternType="solid">
        <fgColor rgb="FF666666"/>
        <bgColor rgb="FF666666"/>
      </patternFill>
    </fill>
    <fill>
      <patternFill patternType="solid">
        <fgColor rgb="FFAA6600"/>
        <bgColor rgb="FFAA6600"/>
      </patternFill>
    </fill>
    <fill>
      <patternFill patternType="solid">
        <fgColor rgb="FF879099"/>
        <bgColor rgb="FF879099"/>
      </patternFill>
    </fill>
    <fill>
      <patternFill patternType="solid">
        <fgColor rgb="FF867630"/>
        <bgColor rgb="FF867630"/>
      </patternFill>
    </fill>
    <fill>
      <patternFill patternType="solid">
        <fgColor rgb="FF1F8A81"/>
        <bgColor rgb="FF1F8A81"/>
      </patternFill>
    </fill>
    <fill>
      <patternFill patternType="solid">
        <fgColor rgb="FF7BA1AA"/>
        <bgColor rgb="FF7BA1AA"/>
      </patternFill>
    </fill>
    <fill>
      <patternFill patternType="solid">
        <fgColor rgb="FF58A658"/>
        <bgColor rgb="FF58A658"/>
      </patternFill>
    </fill>
    <fill>
      <patternFill patternType="solid">
        <fgColor rgb="FF9D2D86"/>
        <bgColor rgb="FF9D2D86"/>
      </patternFill>
    </fill>
    <fill>
      <patternFill patternType="solid">
        <fgColor rgb="FFAA8F00"/>
        <bgColor rgb="FFAA8F00"/>
      </patternFill>
    </fill>
    <fill>
      <patternFill patternType="solid">
        <fgColor rgb="FF5000AA"/>
        <bgColor rgb="FF5000AA"/>
      </patternFill>
    </fill>
    <fill>
      <patternFill patternType="solid">
        <fgColor rgb="FFAA1641"/>
        <bgColor rgb="FFAA1641"/>
      </patternFill>
    </fill>
    <fill>
      <patternFill patternType="solid">
        <fgColor rgb="FF2A2A2A"/>
        <bgColor rgb="FF2A2A2A"/>
      </patternFill>
    </fill>
    <fill>
      <patternFill patternType="solid">
        <fgColor rgb="FF362093"/>
        <bgColor rgb="FF362093"/>
      </patternFill>
    </fill>
    <fill>
      <patternFill patternType="solid">
        <fgColor rgb="FF5231DD"/>
        <bgColor rgb="FF5231DD"/>
      </patternFill>
    </fill>
    <fill>
      <patternFill patternType="solid">
        <fgColor rgb="FF2F196B"/>
        <bgColor rgb="FF2F196B"/>
      </patternFill>
    </fill>
    <fill>
      <patternFill patternType="solid">
        <fgColor rgb="FF24DDD8"/>
        <bgColor rgb="FF24DDD8"/>
      </patternFill>
    </fill>
    <fill>
      <patternFill patternType="solid">
        <fgColor rgb="FF189390"/>
        <bgColor rgb="FF189390"/>
      </patternFill>
    </fill>
    <fill>
      <patternFill patternType="solid">
        <fgColor rgb="FFCC0000"/>
        <bgColor rgb="FFCC0000"/>
      </patternFill>
    </fill>
    <fill>
      <patternFill patternType="solid">
        <fgColor rgb="FFF1C232"/>
        <bgColor rgb="FFF1C232"/>
      </patternFill>
    </fill>
    <fill>
      <patternFill patternType="solid">
        <fgColor rgb="FFFFF1AA"/>
        <bgColor rgb="FFFFF1AA"/>
      </patternFill>
    </fill>
    <fill>
      <patternFill patternType="solid">
        <fgColor rgb="FFE7FAFF"/>
        <bgColor rgb="FFE7FAFF"/>
      </patternFill>
    </fill>
    <fill>
      <patternFill patternType="solid">
        <fgColor rgb="FFEFEFEF"/>
        <bgColor rgb="FFEFEFEF"/>
      </patternFill>
    </fill>
    <fill>
      <patternFill patternType="solid">
        <fgColor rgb="FFFCE5CD"/>
        <bgColor rgb="FFFCE5CD"/>
      </patternFill>
    </fill>
    <fill>
      <patternFill patternType="solid">
        <fgColor rgb="FFDCE5EC"/>
        <bgColor rgb="FFDCE5EC"/>
      </patternFill>
    </fill>
    <fill>
      <patternFill patternType="solid">
        <fgColor rgb="FFE4DAB0"/>
        <bgColor rgb="FFE4DAB0"/>
      </patternFill>
    </fill>
    <fill>
      <patternFill patternType="solid">
        <fgColor rgb="FFE06666"/>
        <bgColor rgb="FFE06666"/>
      </patternFill>
    </fill>
    <fill>
      <patternFill patternType="solid">
        <fgColor rgb="FFEA9999"/>
        <bgColor rgb="FFEA9999"/>
      </patternFill>
    </fill>
    <fill>
      <patternFill patternType="solid">
        <fgColor rgb="FFFF8A45"/>
        <bgColor rgb="FFFF8A45"/>
      </patternFill>
    </fill>
    <fill>
      <patternFill patternType="solid">
        <fgColor rgb="FFFFD8C1"/>
        <bgColor rgb="FFFFD8C1"/>
      </patternFill>
    </fill>
    <fill>
      <patternFill patternType="solid">
        <fgColor rgb="FF1155CC"/>
        <bgColor rgb="FF1155CC"/>
      </patternFill>
    </fill>
    <fill>
      <patternFill patternType="solid">
        <fgColor rgb="FF61C0E0"/>
        <bgColor rgb="FF61C0E0"/>
      </patternFill>
    </fill>
    <fill>
      <patternFill patternType="solid">
        <fgColor rgb="FFCAEAF4"/>
        <bgColor rgb="FFCAEAF4"/>
      </patternFill>
    </fill>
    <fill>
      <patternFill patternType="solid">
        <fgColor rgb="FF8BB7FF"/>
        <bgColor rgb="FF8BB7FF"/>
      </patternFill>
    </fill>
    <fill>
      <patternFill patternType="solid">
        <fgColor rgb="FFD8E7FF"/>
        <bgColor rgb="FFD8E7FF"/>
      </patternFill>
    </fill>
    <fill>
      <patternFill patternType="solid">
        <fgColor rgb="FF42A5FF"/>
        <bgColor rgb="FF42A5FF"/>
      </patternFill>
    </fill>
    <fill>
      <patternFill patternType="solid">
        <fgColor rgb="FFC0E1FF"/>
        <bgColor rgb="FFC0E1FF"/>
      </patternFill>
    </fill>
    <fill>
      <patternFill patternType="solid">
        <fgColor rgb="FF351C75"/>
        <bgColor rgb="FF351C75"/>
      </patternFill>
    </fill>
    <fill>
      <patternFill patternType="solid">
        <fgColor rgb="FF8E6BFF"/>
        <bgColor rgb="FF8E6BFF"/>
      </patternFill>
    </fill>
    <fill>
      <patternFill patternType="solid">
        <fgColor rgb="FFD9CDFF"/>
        <bgColor rgb="FFD9CDFF"/>
      </patternFill>
    </fill>
    <fill>
      <patternFill patternType="solid">
        <fgColor rgb="FF6B77FF"/>
        <bgColor rgb="FF6B77FF"/>
      </patternFill>
    </fill>
    <fill>
      <patternFill patternType="solid">
        <fgColor rgb="FFCDD1FF"/>
        <bgColor rgb="FFCDD1FF"/>
      </patternFill>
    </fill>
    <fill>
      <patternFill patternType="solid">
        <fgColor rgb="FFB4A3FF"/>
        <bgColor rgb="FFB4A3FF"/>
      </patternFill>
    </fill>
    <fill>
      <patternFill patternType="solid">
        <fgColor rgb="FFE6E0FF"/>
        <bgColor rgb="FFE6E0FF"/>
      </patternFill>
    </fill>
    <fill>
      <patternFill patternType="solid">
        <fgColor rgb="FF1F1047"/>
        <bgColor rgb="FF1F1047"/>
      </patternFill>
    </fill>
    <fill>
      <patternFill patternType="solid">
        <fgColor rgb="FFB9EFEA"/>
        <bgColor rgb="FFB9EFEA"/>
      </patternFill>
    </fill>
    <fill>
      <patternFill patternType="solid">
        <fgColor rgb="FFCEFDCE"/>
        <bgColor rgb="FFCEFDCE"/>
      </patternFill>
    </fill>
    <fill>
      <patternFill patternType="solid">
        <fgColor rgb="FFF8C0ED"/>
        <bgColor rgb="FFF8C0ED"/>
      </patternFill>
    </fill>
    <fill>
      <patternFill patternType="solid">
        <fgColor rgb="FFC089FF"/>
        <bgColor rgb="FFC089FF"/>
      </patternFill>
    </fill>
    <fill>
      <patternFill patternType="solid">
        <fgColor rgb="FFFF89AA"/>
        <bgColor rgb="FFFF89AA"/>
      </patternFill>
    </fill>
    <fill>
      <patternFill patternType="solid">
        <fgColor rgb="FFEBE8FB"/>
        <bgColor rgb="FFEBE8FB"/>
      </patternFill>
    </fill>
  </fills>
  <borders count="6">
    <border/>
    <border>
      <top style="thick">
        <color rgb="FF44346F"/>
      </top>
    </border>
    <border>
      <top style="thick">
        <color rgb="FF00784A"/>
      </top>
      <bottom style="thick">
        <color rgb="FF00784A"/>
      </bottom>
    </border>
    <border>
      <top style="thick">
        <color rgb="FFAA7238"/>
      </top>
      <bottom style="thick">
        <color rgb="FFAA7238"/>
      </bottom>
    </border>
    <border>
      <top style="thick">
        <color rgb="FFA83B4A"/>
      </top>
      <bottom style="thick">
        <color rgb="FFA83B4A"/>
      </bottom>
    </border>
    <border>
      <bottom style="thick">
        <color rgb="FFFFFFFF"/>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4" fontId="3" numFmtId="0" xfId="0" applyAlignment="1" applyFill="1" applyFont="1">
      <alignment horizontal="left" readingOrder="0" vertical="center"/>
    </xf>
    <xf borderId="0" fillId="5" fontId="4" numFmtId="0" xfId="0" applyAlignment="1" applyFill="1" applyFont="1">
      <alignment readingOrder="0" vertical="center"/>
    </xf>
    <xf borderId="0" fillId="5" fontId="4" numFmtId="0" xfId="0" applyAlignment="1" applyFont="1">
      <alignment readingOrder="0" shrinkToFit="0" vertical="center" wrapText="0"/>
    </xf>
    <xf borderId="0" fillId="5" fontId="5" numFmtId="0" xfId="0" applyAlignment="1" applyFont="1">
      <alignment readingOrder="0" shrinkToFit="0" vertical="center" wrapText="0"/>
    </xf>
    <xf borderId="1" fillId="4" fontId="3" numFmtId="0" xfId="0" applyAlignment="1" applyBorder="1" applyFont="1">
      <alignment horizontal="center" readingOrder="0" vertical="center"/>
    </xf>
    <xf borderId="2" fillId="6" fontId="6" numFmtId="0" xfId="0" applyAlignment="1" applyBorder="1" applyFill="1" applyFont="1">
      <alignment horizontal="center" readingOrder="0" vertical="center"/>
    </xf>
    <xf borderId="2" fillId="0" fontId="7" numFmtId="0" xfId="0" applyBorder="1" applyFont="1"/>
    <xf borderId="3" fillId="7" fontId="8" numFmtId="0" xfId="0" applyAlignment="1" applyBorder="1" applyFill="1" applyFont="1">
      <alignment horizontal="center" readingOrder="0" vertical="center"/>
    </xf>
    <xf borderId="3" fillId="0" fontId="7" numFmtId="0" xfId="0" applyBorder="1" applyFont="1"/>
    <xf borderId="4" fillId="8" fontId="9" numFmtId="0" xfId="0" applyAlignment="1" applyBorder="1" applyFill="1" applyFont="1">
      <alignment horizontal="center" readingOrder="0" vertical="center"/>
    </xf>
    <xf borderId="4" fillId="0" fontId="7" numFmtId="0" xfId="0" applyBorder="1" applyFont="1"/>
    <xf borderId="5" fillId="0" fontId="7" numFmtId="0" xfId="0" applyBorder="1" applyFont="1"/>
    <xf borderId="5" fillId="9" fontId="3" numFmtId="0" xfId="0" applyAlignment="1" applyBorder="1" applyFill="1" applyFont="1">
      <alignment horizontal="center" readingOrder="0" vertical="center"/>
    </xf>
    <xf borderId="5" fillId="10" fontId="3" numFmtId="0" xfId="0" applyAlignment="1" applyBorder="1" applyFill="1" applyFont="1">
      <alignment horizontal="center" readingOrder="0" vertical="center"/>
    </xf>
    <xf borderId="5" fillId="11" fontId="3" numFmtId="0" xfId="0" applyAlignment="1" applyBorder="1" applyFill="1" applyFont="1">
      <alignment horizontal="center" readingOrder="0" vertical="center"/>
    </xf>
    <xf borderId="0" fillId="5" fontId="4" numFmtId="0" xfId="0" applyAlignment="1" applyFont="1">
      <alignment horizontal="center" readingOrder="0" vertical="center"/>
    </xf>
    <xf borderId="0" fillId="12" fontId="3" numFmtId="0" xfId="0" applyAlignment="1" applyFill="1" applyFont="1">
      <alignment horizontal="center" readingOrder="0" vertical="center"/>
    </xf>
    <xf borderId="0" fillId="13" fontId="3" numFmtId="0" xfId="0" applyAlignment="1" applyFill="1" applyFont="1">
      <alignment horizontal="center" readingOrder="0" vertical="center"/>
    </xf>
    <xf borderId="0" fillId="14" fontId="10" numFmtId="0" xfId="0" applyAlignment="1" applyFill="1" applyFont="1">
      <alignment horizontal="center" readingOrder="0" vertical="center"/>
    </xf>
    <xf borderId="0" fillId="15" fontId="3" numFmtId="0" xfId="0" applyAlignment="1" applyFill="1" applyFont="1">
      <alignment horizontal="center" readingOrder="0" vertical="center"/>
    </xf>
    <xf borderId="0" fillId="16" fontId="10" numFmtId="0" xfId="0" applyAlignment="1" applyFill="1" applyFont="1">
      <alignment horizontal="center" readingOrder="0" vertical="center"/>
    </xf>
    <xf borderId="0" fillId="17" fontId="10" numFmtId="0" xfId="0" applyAlignment="1" applyFill="1" applyFont="1">
      <alignment horizontal="center" readingOrder="0" vertical="center"/>
    </xf>
    <xf borderId="0" fillId="18" fontId="10" numFmtId="0" xfId="0" applyAlignment="1" applyFill="1" applyFont="1">
      <alignment horizontal="center" readingOrder="0" vertical="center"/>
    </xf>
    <xf borderId="0" fillId="19" fontId="3" numFmtId="0" xfId="0" applyAlignment="1" applyFill="1" applyFont="1">
      <alignment horizontal="center" readingOrder="0" vertical="center"/>
    </xf>
    <xf borderId="0" fillId="20" fontId="10" numFmtId="0" xfId="0" applyAlignment="1" applyFill="1" applyFont="1">
      <alignment horizontal="center" readingOrder="0" vertical="center"/>
    </xf>
    <xf borderId="0" fillId="21" fontId="3" numFmtId="0" xfId="0" applyAlignment="1" applyFill="1" applyFont="1">
      <alignment horizontal="center" readingOrder="0" vertical="center"/>
    </xf>
    <xf borderId="0" fillId="22" fontId="3" numFmtId="0" xfId="0" applyAlignment="1" applyFill="1" applyFont="1">
      <alignment horizontal="center" readingOrder="0" vertical="center"/>
    </xf>
    <xf borderId="0" fillId="23" fontId="3" numFmtId="0" xfId="0" applyAlignment="1" applyFill="1" applyFont="1">
      <alignment horizontal="center" readingOrder="0" vertical="center"/>
    </xf>
    <xf borderId="0" fillId="24" fontId="3" numFmtId="0" xfId="0" applyAlignment="1" applyFill="1" applyFont="1">
      <alignment horizontal="center" readingOrder="0" vertical="center"/>
    </xf>
    <xf borderId="0" fillId="25" fontId="3" numFmtId="0" xfId="0" applyAlignment="1" applyFill="1" applyFont="1">
      <alignment horizontal="center" readingOrder="0" vertical="center"/>
    </xf>
    <xf borderId="0" fillId="26" fontId="3" numFmtId="0" xfId="0" applyAlignment="1" applyFill="1" applyFont="1">
      <alignment horizontal="center" readingOrder="0" vertical="center"/>
    </xf>
    <xf borderId="0" fillId="27" fontId="3" numFmtId="0" xfId="0" applyAlignment="1" applyFill="1" applyFont="1">
      <alignment horizontal="center" readingOrder="0" vertical="center"/>
    </xf>
    <xf borderId="0" fillId="28" fontId="3" numFmtId="0" xfId="0" applyAlignment="1" applyFill="1" applyFont="1">
      <alignment horizontal="center" readingOrder="0" vertical="center"/>
    </xf>
    <xf borderId="0" fillId="29" fontId="3" numFmtId="0" xfId="0" applyAlignment="1" applyFill="1" applyFont="1">
      <alignment horizontal="center" readingOrder="0" vertical="center"/>
    </xf>
    <xf borderId="0" fillId="30" fontId="3" numFmtId="0" xfId="0" applyAlignment="1" applyFill="1" applyFont="1">
      <alignment horizontal="center" readingOrder="0" vertical="center"/>
    </xf>
    <xf borderId="0" fillId="31" fontId="3" numFmtId="0" xfId="0" applyAlignment="1" applyFill="1" applyFont="1">
      <alignment horizontal="center" readingOrder="0" vertical="center"/>
    </xf>
    <xf borderId="0" fillId="32" fontId="3" numFmtId="0" xfId="0" applyAlignment="1" applyFill="1" applyFont="1">
      <alignment horizontal="center" readingOrder="0" vertical="center"/>
    </xf>
    <xf borderId="0" fillId="33" fontId="3" numFmtId="0" xfId="0" applyAlignment="1" applyFill="1" applyFont="1">
      <alignment horizontal="center" readingOrder="0" vertical="center"/>
    </xf>
    <xf borderId="0" fillId="34" fontId="3" numFmtId="0" xfId="0" applyAlignment="1" applyFill="1" applyFont="1">
      <alignment horizontal="center" readingOrder="0" vertical="center"/>
    </xf>
    <xf borderId="0" fillId="35" fontId="3" numFmtId="0" xfId="0" applyAlignment="1" applyFill="1" applyFont="1">
      <alignment horizontal="center" readingOrder="0" vertical="center"/>
    </xf>
    <xf borderId="0" fillId="36" fontId="3" numFmtId="0" xfId="0" applyAlignment="1" applyFill="1" applyFont="1">
      <alignment horizontal="center" readingOrder="0" vertical="center"/>
    </xf>
    <xf borderId="0" fillId="3" fontId="11" numFmtId="0" xfId="0" applyAlignment="1" applyFont="1">
      <alignment horizontal="center" readingOrder="0" textRotation="0" vertical="center"/>
    </xf>
    <xf borderId="0" fillId="37" fontId="12" numFmtId="0" xfId="0" applyAlignment="1" applyFill="1" applyFont="1">
      <alignment horizontal="center" readingOrder="0" textRotation="0" vertical="center"/>
    </xf>
    <xf borderId="0" fillId="38" fontId="13" numFmtId="0" xfId="0" applyAlignment="1" applyFill="1" applyFont="1">
      <alignment horizontal="center" readingOrder="0" textRotation="0" vertical="center"/>
    </xf>
    <xf borderId="0" fillId="38" fontId="14" numFmtId="0" xfId="0" applyAlignment="1" applyFont="1">
      <alignment horizontal="center" readingOrder="0" textRotation="0" vertical="center"/>
    </xf>
    <xf borderId="0" fillId="39" fontId="3" numFmtId="0" xfId="0" applyAlignment="1" applyFill="1" applyFont="1">
      <alignment horizontal="center" readingOrder="0" vertical="center"/>
    </xf>
    <xf borderId="0" fillId="0" fontId="4" numFmtId="0" xfId="0" applyAlignment="1" applyFont="1">
      <alignment horizontal="center" readingOrder="0" vertical="center"/>
    </xf>
    <xf borderId="0" fillId="40" fontId="4" numFmtId="0" xfId="0" applyAlignment="1" applyFill="1" applyFont="1">
      <alignment horizontal="center" readingOrder="0" vertical="center"/>
    </xf>
    <xf borderId="0" fillId="38" fontId="15" numFmtId="0" xfId="0" applyAlignment="1" applyFont="1">
      <alignment horizontal="center" readingOrder="0" vertical="center"/>
    </xf>
    <xf borderId="0" fillId="38" fontId="15" numFmtId="0" xfId="0" applyAlignment="1" applyFont="1">
      <alignment horizontal="center" readingOrder="0" textRotation="90" vertical="center"/>
    </xf>
    <xf borderId="0" fillId="38" fontId="3" numFmtId="0" xfId="0" applyAlignment="1" applyFont="1">
      <alignment horizontal="center" readingOrder="0" vertical="center"/>
    </xf>
    <xf borderId="0" fillId="41" fontId="3" numFmtId="1" xfId="0" applyAlignment="1" applyFill="1" applyFont="1" applyNumberFormat="1">
      <alignment horizontal="center" readingOrder="0" vertical="center"/>
    </xf>
    <xf borderId="0" fillId="27" fontId="16" numFmtId="0" xfId="0" applyAlignment="1" applyFont="1">
      <alignment horizontal="center" readingOrder="0" vertical="center"/>
    </xf>
    <xf borderId="0" fillId="42" fontId="3" numFmtId="0" xfId="0" applyAlignment="1" applyFill="1" applyFont="1">
      <alignment horizontal="center" readingOrder="0" textRotation="90" vertical="center"/>
    </xf>
    <xf borderId="0" fillId="43" fontId="10" numFmtId="0" xfId="0" applyAlignment="1" applyFill="1" applyFont="1">
      <alignment horizontal="center" textRotation="90" vertical="center"/>
    </xf>
    <xf borderId="0" fillId="44" fontId="17" numFmtId="164" xfId="0" applyAlignment="1" applyFill="1" applyFont="1" applyNumberFormat="1">
      <alignment readingOrder="0" vertical="center"/>
    </xf>
    <xf borderId="0" fillId="44" fontId="10" numFmtId="0" xfId="0" applyAlignment="1" applyFont="1">
      <alignment readingOrder="0" vertical="center"/>
    </xf>
    <xf borderId="0" fillId="0" fontId="18" numFmtId="0" xfId="0" applyFont="1"/>
    <xf borderId="0" fillId="0" fontId="10" numFmtId="0" xfId="0" applyAlignment="1" applyFont="1">
      <alignment vertical="center"/>
    </xf>
    <xf borderId="0" fillId="45" fontId="10" numFmtId="1" xfId="0" applyAlignment="1" applyFill="1" applyFont="1" applyNumberFormat="1">
      <alignment horizontal="center" vertical="center"/>
    </xf>
    <xf borderId="0" fillId="46" fontId="10" numFmtId="0" xfId="0" applyAlignment="1" applyFill="1" applyFont="1">
      <alignment horizontal="center" readingOrder="0" vertical="center"/>
    </xf>
    <xf borderId="0" fillId="47" fontId="4" numFmtId="0" xfId="0" applyAlignment="1" applyFill="1" applyFont="1">
      <alignment horizontal="center" readingOrder="0" vertical="center"/>
    </xf>
    <xf borderId="0" fillId="48" fontId="4" numFmtId="0" xfId="0" applyAlignment="1" applyFill="1" applyFont="1">
      <alignment horizontal="center" readingOrder="0" vertical="center"/>
    </xf>
    <xf borderId="0" fillId="49" fontId="4" numFmtId="0" xfId="0" applyAlignment="1" applyFill="1" applyFont="1">
      <alignment horizontal="center" readingOrder="0" vertical="center"/>
    </xf>
    <xf borderId="0" fillId="50" fontId="3" numFmtId="0" xfId="0" applyAlignment="1" applyFill="1" applyFont="1">
      <alignment horizontal="center" readingOrder="0" textRotation="90" vertical="center"/>
    </xf>
    <xf borderId="0" fillId="51" fontId="19" numFmtId="164" xfId="0" applyAlignment="1" applyFill="1" applyFont="1" applyNumberFormat="1">
      <alignment readingOrder="0" vertical="center"/>
    </xf>
    <xf borderId="0" fillId="51" fontId="10" numFmtId="0" xfId="0" applyAlignment="1" applyFont="1">
      <alignment readingOrder="0" vertical="center"/>
    </xf>
    <xf borderId="0" fillId="46" fontId="4" numFmtId="0" xfId="0" applyAlignment="1" applyFont="1">
      <alignment horizontal="center" readingOrder="0" vertical="center"/>
    </xf>
    <xf borderId="0" fillId="51" fontId="20" numFmtId="164" xfId="0" applyAlignment="1" applyFont="1" applyNumberFormat="1">
      <alignment readingOrder="0" vertical="center"/>
    </xf>
    <xf borderId="0" fillId="51" fontId="10" numFmtId="0" xfId="0" applyAlignment="1" applyFont="1">
      <alignment readingOrder="0" vertical="center"/>
    </xf>
    <xf borderId="0" fillId="52" fontId="3" numFmtId="0" xfId="0" applyAlignment="1" applyFill="1" applyFont="1">
      <alignment horizontal="center" readingOrder="0" textRotation="90" vertical="center"/>
    </xf>
    <xf borderId="0" fillId="53" fontId="21" numFmtId="164" xfId="0" applyAlignment="1" applyFill="1" applyFont="1" applyNumberFormat="1">
      <alignment readingOrder="0" vertical="center"/>
    </xf>
    <xf borderId="0" fillId="53" fontId="10" numFmtId="0" xfId="0" applyAlignment="1" applyFont="1">
      <alignment readingOrder="0" vertical="center"/>
    </xf>
    <xf borderId="0" fillId="54" fontId="3" numFmtId="0" xfId="0" applyAlignment="1" applyFill="1" applyFont="1">
      <alignment horizontal="center" readingOrder="0" textRotation="90" vertical="center"/>
    </xf>
    <xf borderId="0" fillId="55" fontId="10" numFmtId="0" xfId="0" applyAlignment="1" applyFill="1" applyFont="1">
      <alignment horizontal="center" textRotation="90" vertical="center"/>
    </xf>
    <xf borderId="0" fillId="56" fontId="22" numFmtId="164" xfId="0" applyAlignment="1" applyFill="1" applyFont="1" applyNumberFormat="1">
      <alignment readingOrder="0" vertical="center"/>
    </xf>
    <xf borderId="0" fillId="56" fontId="10" numFmtId="0" xfId="0" applyAlignment="1" applyFont="1">
      <alignment readingOrder="0" vertical="center"/>
    </xf>
    <xf borderId="0" fillId="57" fontId="10" numFmtId="0" xfId="0" applyAlignment="1" applyFill="1" applyFont="1">
      <alignment horizontal="center" readingOrder="0" textRotation="90" vertical="center"/>
    </xf>
    <xf borderId="0" fillId="58" fontId="23" numFmtId="164" xfId="0" applyAlignment="1" applyFill="1" applyFont="1" applyNumberFormat="1">
      <alignment readingOrder="0" vertical="center"/>
    </xf>
    <xf borderId="0" fillId="58" fontId="10" numFmtId="0" xfId="0" applyAlignment="1" applyFont="1">
      <alignment readingOrder="0" vertical="center"/>
    </xf>
    <xf borderId="0" fillId="59" fontId="10" numFmtId="0" xfId="0" applyAlignment="1" applyFill="1" applyFont="1">
      <alignment horizontal="center" readingOrder="0" textRotation="90" vertical="center"/>
    </xf>
    <xf borderId="0" fillId="60" fontId="24" numFmtId="164" xfId="0" applyAlignment="1" applyFill="1" applyFont="1" applyNumberFormat="1">
      <alignment readingOrder="0" vertical="center"/>
    </xf>
    <xf borderId="0" fillId="60" fontId="10" numFmtId="0" xfId="0" applyAlignment="1" applyFont="1">
      <alignment readingOrder="0" vertical="center"/>
    </xf>
    <xf borderId="0" fillId="61" fontId="3" numFmtId="0" xfId="0" applyAlignment="1" applyFill="1" applyFont="1">
      <alignment horizontal="center" readingOrder="0" textRotation="90" vertical="center"/>
    </xf>
    <xf borderId="0" fillId="62" fontId="3" numFmtId="0" xfId="0" applyAlignment="1" applyFill="1" applyFont="1">
      <alignment horizontal="center" readingOrder="0" textRotation="90" vertical="center"/>
    </xf>
    <xf borderId="0" fillId="63" fontId="25" numFmtId="164" xfId="0" applyAlignment="1" applyFill="1" applyFont="1" applyNumberFormat="1">
      <alignment readingOrder="0" vertical="center"/>
    </xf>
    <xf borderId="0" fillId="63" fontId="10" numFmtId="0" xfId="0" applyAlignment="1" applyFont="1">
      <alignment readingOrder="0" vertical="center"/>
    </xf>
    <xf borderId="0" fillId="47" fontId="10" numFmtId="0" xfId="0" applyAlignment="1" applyFont="1">
      <alignment horizontal="center" readingOrder="0" vertical="center"/>
    </xf>
    <xf borderId="0" fillId="48" fontId="10" numFmtId="0" xfId="0" applyAlignment="1" applyFont="1">
      <alignment horizontal="center" readingOrder="0" vertical="center"/>
    </xf>
    <xf borderId="0" fillId="49" fontId="10" numFmtId="0" xfId="0" applyAlignment="1" applyFont="1">
      <alignment horizontal="center" readingOrder="0" vertical="center"/>
    </xf>
    <xf borderId="0" fillId="64" fontId="3" numFmtId="0" xfId="0" applyAlignment="1" applyFill="1" applyFont="1">
      <alignment horizontal="center" textRotation="90" vertical="center"/>
    </xf>
    <xf borderId="0" fillId="65" fontId="26" numFmtId="164" xfId="0" applyAlignment="1" applyFill="1" applyFont="1" applyNumberFormat="1">
      <alignment readingOrder="0" vertical="center"/>
    </xf>
    <xf borderId="0" fillId="65" fontId="10" numFmtId="165" xfId="0" applyAlignment="1" applyFont="1" applyNumberFormat="1">
      <alignment readingOrder="0" vertical="center"/>
    </xf>
    <xf borderId="0" fillId="66" fontId="10" numFmtId="0" xfId="0" applyAlignment="1" applyFill="1" applyFont="1">
      <alignment horizontal="center" readingOrder="0" textRotation="90" vertical="center"/>
    </xf>
    <xf borderId="0" fillId="67" fontId="27" numFmtId="164" xfId="0" applyAlignment="1" applyFill="1" applyFont="1" applyNumberFormat="1">
      <alignment readingOrder="0" vertical="center"/>
    </xf>
    <xf borderId="0" fillId="67" fontId="10" numFmtId="165" xfId="0" applyAlignment="1" applyFont="1" applyNumberFormat="1">
      <alignment readingOrder="0" vertical="center"/>
    </xf>
    <xf borderId="0" fillId="38" fontId="28" numFmtId="0" xfId="0" applyAlignment="1" applyFont="1">
      <alignment horizontal="center" textRotation="0" vertical="center"/>
    </xf>
    <xf borderId="0" fillId="68" fontId="29" numFmtId="0" xfId="0" applyAlignment="1" applyFill="1" applyFont="1">
      <alignment horizontal="center" readingOrder="0" textRotation="0" vertical="center"/>
    </xf>
    <xf borderId="0" fillId="38" fontId="30" numFmtId="0" xfId="0" applyAlignment="1" applyFont="1">
      <alignment horizontal="center" vertical="center"/>
    </xf>
    <xf borderId="0" fillId="68" fontId="31" numFmtId="0" xfId="0" applyAlignment="1" applyFont="1">
      <alignment horizontal="center" readingOrder="0" textRotation="0" vertical="center"/>
    </xf>
    <xf borderId="0" fillId="39" fontId="32" numFmtId="0" xfId="0" applyAlignment="1" applyFont="1">
      <alignment horizontal="center" vertical="center"/>
    </xf>
    <xf borderId="0" fillId="29" fontId="16" numFmtId="0" xfId="0" applyAlignment="1" applyFont="1">
      <alignment horizontal="center" readingOrder="0" vertical="center"/>
    </xf>
    <xf borderId="0" fillId="30" fontId="16" numFmtId="0" xfId="0" applyAlignment="1" applyFont="1">
      <alignment horizontal="center" readingOrder="0" vertical="center"/>
    </xf>
    <xf borderId="0" fillId="69" fontId="4" numFmtId="0" xfId="0" applyAlignment="1" applyFill="1" applyFont="1">
      <alignment horizontal="center" readingOrder="0" vertical="center"/>
    </xf>
    <xf borderId="0" fillId="45" fontId="4" numFmtId="0" xfId="0" applyAlignment="1" applyFont="1">
      <alignment horizontal="center" readingOrder="0" vertical="center"/>
    </xf>
    <xf borderId="0" fillId="70" fontId="4" numFmtId="0" xfId="0" applyAlignment="1" applyFill="1" applyFont="1">
      <alignment horizontal="center" readingOrder="0" vertical="center"/>
    </xf>
    <xf borderId="0" fillId="71" fontId="4" numFmtId="0" xfId="0" applyAlignment="1" applyFill="1" applyFont="1">
      <alignment horizontal="center" readingOrder="0" vertical="center"/>
    </xf>
    <xf borderId="0" fillId="0" fontId="10" numFmtId="0" xfId="0" applyAlignment="1" applyFont="1">
      <alignment horizontal="center" readingOrder="0" vertical="center"/>
    </xf>
    <xf borderId="0" fillId="69" fontId="10" numFmtId="0" xfId="0" applyAlignment="1" applyFont="1">
      <alignment horizontal="center" readingOrder="0" vertical="center"/>
    </xf>
    <xf borderId="0" fillId="45" fontId="10" numFmtId="0" xfId="0" applyAlignment="1" applyFont="1">
      <alignment horizontal="center" readingOrder="0" vertical="center"/>
    </xf>
    <xf borderId="0" fillId="70" fontId="10" numFmtId="0" xfId="0" applyAlignment="1" applyFont="1">
      <alignment horizontal="center" readingOrder="0" vertical="center"/>
    </xf>
    <xf borderId="0" fillId="71" fontId="10" numFmtId="0" xfId="0" applyAlignment="1" applyFont="1">
      <alignment horizontal="center" readingOrder="0" vertical="center"/>
    </xf>
    <xf borderId="0" fillId="68" fontId="33" numFmtId="0" xfId="0" applyAlignment="1" applyFont="1">
      <alignment horizontal="center" readingOrder="0" textRotation="0" vertical="center"/>
    </xf>
    <xf borderId="0" fillId="68" fontId="34" numFmtId="0" xfId="0" applyAlignment="1" applyFont="1">
      <alignment horizontal="center" readingOrder="0" textRotation="0" vertical="center"/>
    </xf>
    <xf borderId="0" fillId="0" fontId="4" numFmtId="0" xfId="0" applyAlignment="1" applyFont="1">
      <alignment horizontal="center"/>
    </xf>
    <xf borderId="0" fillId="38" fontId="3" numFmtId="1" xfId="0" applyAlignment="1" applyFont="1" applyNumberFormat="1">
      <alignment horizontal="center"/>
    </xf>
    <xf borderId="0" fillId="44" fontId="4" numFmtId="0" xfId="0" applyAlignment="1" applyFont="1">
      <alignment horizontal="center" readingOrder="0" vertical="center"/>
    </xf>
    <xf borderId="0" fillId="72" fontId="10" numFmtId="0" xfId="0" applyAlignment="1" applyFill="1" applyFont="1">
      <alignment horizontal="center" readingOrder="0" vertical="center"/>
    </xf>
    <xf borderId="0" fillId="73" fontId="10" numFmtId="0" xfId="0" applyAlignment="1" applyFill="1" applyFont="1">
      <alignment horizontal="center" readingOrder="0" vertical="center"/>
    </xf>
    <xf borderId="0" fillId="44" fontId="10" numFmtId="0" xfId="0" applyAlignment="1" applyFont="1">
      <alignment horizontal="center" readingOrder="0" vertical="center"/>
    </xf>
    <xf borderId="0" fillId="68" fontId="35" numFmtId="0" xfId="0" applyAlignment="1" applyFont="1">
      <alignment horizontal="center" readingOrder="0" textRotation="0" vertical="center"/>
    </xf>
    <xf borderId="0" fillId="68" fontId="36" numFmtId="0" xfId="0" applyAlignment="1" applyFont="1">
      <alignment horizontal="center" readingOrder="0" textRotation="0" vertical="center"/>
    </xf>
    <xf borderId="0" fillId="38" fontId="3" numFmtId="0" xfId="0" applyAlignment="1" applyFont="1">
      <alignment readingOrder="0"/>
    </xf>
    <xf borderId="0" fillId="74" fontId="4" numFmtId="0" xfId="0" applyAlignment="1" applyFill="1" applyFont="1">
      <alignment readingOrder="0" vertical="top"/>
    </xf>
    <xf borderId="0" fillId="74" fontId="4" numFmtId="0" xfId="0" applyAlignment="1" applyFont="1">
      <alignment horizontal="left" readingOrder="0" vertical="top"/>
    </xf>
  </cellXfs>
  <cellStyles count="1">
    <cellStyle xfId="0" name="Normal" builtinId="0"/>
  </cellStyles>
  <dxfs count="45">
    <dxf>
      <font>
        <color rgb="FFFFFFFF"/>
      </font>
      <fill>
        <patternFill patternType="solid">
          <fgColor rgb="FFFF0000"/>
          <bgColor rgb="FFFF0000"/>
        </patternFill>
      </fill>
      <border/>
    </dxf>
    <dxf>
      <font>
        <color rgb="FF000000"/>
      </font>
      <fill>
        <patternFill patternType="solid">
          <fgColor rgb="FFCAB148"/>
          <bgColor rgb="FFCAB148"/>
        </patternFill>
      </fill>
      <border/>
    </dxf>
    <dxf>
      <font/>
      <fill>
        <patternFill patternType="solid">
          <fgColor rgb="FFCBD9E6"/>
          <bgColor rgb="FFCBD9E6"/>
        </patternFill>
      </fill>
      <border/>
    </dxf>
    <dxf>
      <font/>
      <fill>
        <patternFill patternType="solid">
          <fgColor rgb="FFFF9900"/>
          <bgColor rgb="FFFF9900"/>
        </patternFill>
      </fill>
      <border/>
    </dxf>
    <dxf>
      <font/>
      <fill>
        <patternFill patternType="solid">
          <fgColor rgb="FF999999"/>
          <bgColor rgb="FF999999"/>
        </patternFill>
      </fill>
      <border/>
    </dxf>
    <dxf>
      <font/>
      <fill>
        <patternFill patternType="solid">
          <fgColor rgb="FFCAB148"/>
          <bgColor rgb="FFCAB148"/>
        </patternFill>
      </fill>
      <border/>
    </dxf>
    <dxf>
      <font>
        <color rgb="FF000000"/>
      </font>
      <fill>
        <patternFill patternType="none"/>
      </fill>
      <border/>
    </dxf>
    <dxf>
      <font/>
      <fill>
        <patternFill patternType="solid">
          <fgColor rgb="FFF6F2E4"/>
          <bgColor rgb="FFF6F2E4"/>
        </patternFill>
      </fill>
      <border/>
    </dxf>
    <dxf>
      <font/>
      <fill>
        <patternFill patternType="solid">
          <fgColor rgb="FFF3F6F8"/>
          <bgColor rgb="FFF3F6F8"/>
        </patternFill>
      </fill>
      <border/>
    </dxf>
    <dxf>
      <font/>
      <fill>
        <patternFill patternType="solid">
          <fgColor rgb="FFFEF6EE"/>
          <bgColor rgb="FFFEF6EE"/>
        </patternFill>
      </fill>
      <border/>
    </dxf>
    <dxf>
      <font/>
      <fill>
        <patternFill patternType="solid">
          <fgColor rgb="FFF9F9F9"/>
          <bgColor rgb="FFF9F9F9"/>
        </patternFill>
      </fill>
      <border/>
    </dxf>
    <dxf>
      <font/>
      <fill>
        <patternFill patternType="solid">
          <fgColor rgb="FFE4DAB0"/>
          <bgColor rgb="FFE4DAB0"/>
        </patternFill>
      </fill>
      <border/>
    </dxf>
    <dxf>
      <font/>
      <fill>
        <patternFill patternType="solid">
          <fgColor rgb="FFDCE5EC"/>
          <bgColor rgb="FFDCE5EC"/>
        </patternFill>
      </fill>
      <border/>
    </dxf>
    <dxf>
      <font/>
      <fill>
        <patternFill patternType="solid">
          <fgColor rgb="FFFCE5CD"/>
          <bgColor rgb="FFFCE5CD"/>
        </patternFill>
      </fill>
      <border/>
    </dxf>
    <dxf>
      <font/>
      <fill>
        <patternFill patternType="solid">
          <fgColor rgb="FFEFEFEF"/>
          <bgColor rgb="FFEFEFEF"/>
        </patternFill>
      </fill>
      <border/>
    </dxf>
    <dxf>
      <font>
        <color rgb="FF000000"/>
      </font>
      <fill>
        <patternFill patternType="solid">
          <fgColor rgb="FFEC44CA"/>
          <bgColor rgb="FFEC44CA"/>
        </patternFill>
      </fill>
      <border/>
    </dxf>
    <dxf>
      <font/>
      <fill>
        <patternFill patternType="solid">
          <fgColor rgb="FF85FA85"/>
          <bgColor rgb="FF85FA85"/>
        </patternFill>
      </fill>
      <border/>
    </dxf>
    <dxf>
      <font/>
      <fill>
        <patternFill patternType="solid">
          <fgColor rgb="FFB9F2FF"/>
          <bgColor rgb="FFB9F2FF"/>
        </patternFill>
      </fill>
      <border/>
    </dxf>
    <dxf>
      <font/>
      <fill>
        <patternFill patternType="solid">
          <fgColor rgb="FF2FCFC2"/>
          <bgColor rgb="FF2FCFC2"/>
        </patternFill>
      </fill>
      <border/>
    </dxf>
    <dxf>
      <font/>
      <fill>
        <patternFill patternType="solid">
          <fgColor rgb="FFEC44CA"/>
          <bgColor rgb="FFEC44CA"/>
        </patternFill>
      </fill>
      <border/>
    </dxf>
    <dxf>
      <font>
        <color rgb="FF000000"/>
      </font>
      <fill>
        <patternFill patternType="solid">
          <fgColor rgb="FF2FCFC2"/>
          <bgColor rgb="FF2FCFC2"/>
        </patternFill>
      </fill>
      <border/>
    </dxf>
    <dxf>
      <font/>
      <fill>
        <patternFill patternType="solid">
          <fgColor rgb="FFFCEAF9"/>
          <bgColor rgb="FFFCEAF9"/>
        </patternFill>
      </fill>
      <border/>
    </dxf>
    <dxf>
      <font/>
      <fill>
        <patternFill patternType="solid">
          <fgColor rgb="FFEEFEEE"/>
          <bgColor rgb="FFEEFEEE"/>
        </patternFill>
      </fill>
      <border/>
    </dxf>
    <dxf>
      <font/>
      <fill>
        <patternFill patternType="solid">
          <fgColor rgb="FFF7FDFF"/>
          <bgColor rgb="FFF7FDFF"/>
        </patternFill>
      </fill>
      <border/>
    </dxf>
    <dxf>
      <font/>
      <fill>
        <patternFill patternType="solid">
          <fgColor rgb="FFE7F9F8"/>
          <bgColor rgb="FFE7F9F8"/>
        </patternFill>
      </fill>
      <border/>
    </dxf>
    <dxf>
      <font/>
      <fill>
        <patternFill patternType="solid">
          <fgColor rgb="FFF8C0ED"/>
          <bgColor rgb="FFF8C0ED"/>
        </patternFill>
      </fill>
      <border/>
    </dxf>
    <dxf>
      <font/>
      <fill>
        <patternFill patternType="solid">
          <fgColor rgb="FFCEFDCE"/>
          <bgColor rgb="FFCEFDCE"/>
        </patternFill>
      </fill>
      <border/>
    </dxf>
    <dxf>
      <font/>
      <fill>
        <patternFill patternType="solid">
          <fgColor rgb="FFE7FAFF"/>
          <bgColor rgb="FFE7FAFF"/>
        </patternFill>
      </fill>
      <border/>
    </dxf>
    <dxf>
      <font/>
      <fill>
        <patternFill patternType="solid">
          <fgColor rgb="FFB9EFEA"/>
          <bgColor rgb="FFB9EFEA"/>
        </patternFill>
      </fill>
      <border/>
    </dxf>
    <dxf>
      <font>
        <color rgb="FF000000"/>
      </font>
      <fill>
        <patternFill patternType="solid">
          <fgColor rgb="FF000000"/>
          <bgColor rgb="FF000000"/>
        </patternFill>
      </fill>
      <border/>
    </dxf>
    <dxf>
      <font/>
      <fill>
        <patternFill patternType="solid">
          <fgColor rgb="FFFF2262"/>
          <bgColor rgb="FFFF2262"/>
        </patternFill>
      </fill>
      <border/>
    </dxf>
    <dxf>
      <font/>
      <fill>
        <patternFill patternType="solid">
          <fgColor rgb="FF7900FF"/>
          <bgColor rgb="FF7900FF"/>
        </patternFill>
      </fill>
      <border/>
    </dxf>
    <dxf>
      <font/>
      <fill>
        <patternFill patternType="solid">
          <fgColor rgb="FFFFD700"/>
          <bgColor rgb="FFFFD700"/>
        </patternFill>
      </fill>
      <border/>
    </dxf>
    <dxf>
      <font>
        <color rgb="FFFFFFFF"/>
      </font>
      <fill>
        <patternFill patternType="solid">
          <fgColor rgb="FF000000"/>
          <bgColor rgb="FF000000"/>
        </patternFill>
      </fill>
      <border/>
    </dxf>
    <dxf>
      <font>
        <color rgb="FFFFFFFF"/>
      </font>
      <fill>
        <patternFill patternType="solid">
          <fgColor rgb="FFFF2262"/>
          <bgColor rgb="FFFF2262"/>
        </patternFill>
      </fill>
      <border/>
    </dxf>
    <dxf>
      <font>
        <color rgb="FFFFFFFF"/>
      </font>
      <fill>
        <patternFill patternType="solid">
          <fgColor rgb="FF7900FF"/>
          <bgColor rgb="FF7900FF"/>
        </patternFill>
      </fill>
      <border/>
    </dxf>
    <dxf>
      <font>
        <color rgb="FF000000"/>
      </font>
      <fill>
        <patternFill patternType="solid">
          <fgColor rgb="FFFFD700"/>
          <bgColor rgb="FFFFD700"/>
        </patternFill>
      </fill>
      <border/>
    </dxf>
    <dxf>
      <font>
        <color rgb="FFFFFFFF"/>
      </font>
      <fill>
        <patternFill patternType="solid">
          <fgColor rgb="FF666666"/>
          <bgColor rgb="FF666666"/>
        </patternFill>
      </fill>
      <border/>
    </dxf>
    <dxf>
      <font>
        <color rgb="FF000000"/>
      </font>
      <fill>
        <patternFill patternType="solid">
          <fgColor rgb="FFFFB6CB"/>
          <bgColor rgb="FFFFB6CB"/>
        </patternFill>
      </fill>
      <border/>
    </dxf>
    <dxf>
      <font>
        <color rgb="FF000000"/>
      </font>
      <fill>
        <patternFill patternType="solid">
          <fgColor rgb="FFE0C5FF"/>
          <bgColor rgb="FFE0C5FF"/>
        </patternFill>
      </fill>
      <border/>
    </dxf>
    <dxf>
      <font>
        <color rgb="FF000000"/>
      </font>
      <fill>
        <patternFill patternType="solid">
          <fgColor rgb="FFFFF1AA"/>
          <bgColor rgb="FFFFF1AA"/>
        </patternFill>
      </fill>
      <border/>
    </dxf>
    <dxf>
      <font>
        <color rgb="FFFFFFFF"/>
      </font>
      <fill>
        <patternFill patternType="solid">
          <fgColor rgb="FF2A2A2A"/>
          <bgColor rgb="FF2A2A2A"/>
        </patternFill>
      </fill>
      <border/>
    </dxf>
    <dxf>
      <font>
        <color rgb="FF2A2A2A"/>
      </font>
      <fill>
        <patternFill patternType="solid">
          <fgColor rgb="FFFF89AA"/>
          <bgColor rgb="FFFF89AA"/>
        </patternFill>
      </fill>
      <border/>
    </dxf>
    <dxf>
      <font>
        <color rgb="FF000000"/>
      </font>
      <fill>
        <patternFill patternType="solid">
          <fgColor rgb="FFC089FF"/>
          <bgColor rgb="FFC089FF"/>
        </patternFill>
      </fill>
      <border/>
    </dxf>
    <dxf>
      <font/>
      <fill>
        <patternFill patternType="solid">
          <fgColor rgb="FFFFF1AA"/>
          <bgColor rgb="FFFFF1A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vestopedia.com/terms/h/harmonicaverage.asp" TargetMode="External"/><Relationship Id="rId2" Type="http://schemas.openxmlformats.org/officeDocument/2006/relationships/hyperlink" Target="http://twitter.com/voltaicaim" TargetMode="External"/><Relationship Id="rId3" Type="http://schemas.openxmlformats.org/officeDocument/2006/relationships/hyperlink" Target="https://www.youtube.com/@voltaicai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steamcommunity.com/sharedfiles/filedetails/?id=3369387151" TargetMode="External"/><Relationship Id="rId10" Type="http://schemas.openxmlformats.org/officeDocument/2006/relationships/hyperlink" Target="https://steamcommunity.com/sharedfiles/filedetails/?id=3333089855" TargetMode="External"/><Relationship Id="rId13" Type="http://schemas.openxmlformats.org/officeDocument/2006/relationships/hyperlink" Target="https://steamcommunity.com/sharedfiles/filedetails/?id=3376930747" TargetMode="External"/><Relationship Id="rId12" Type="http://schemas.openxmlformats.org/officeDocument/2006/relationships/hyperlink" Target="https://steamcommunity.com/sharedfiles/filedetails/?id=3376926846" TargetMode="External"/><Relationship Id="rId1" Type="http://schemas.openxmlformats.org/officeDocument/2006/relationships/hyperlink" Target="https://steamcommunity.com/sharedfiles/filedetails/?id=3333089894" TargetMode="External"/><Relationship Id="rId2" Type="http://schemas.openxmlformats.org/officeDocument/2006/relationships/hyperlink" Target="https://steamcommunity.com/sharedfiles/filedetails/?id=3365697357" TargetMode="External"/><Relationship Id="rId3" Type="http://schemas.openxmlformats.org/officeDocument/2006/relationships/hyperlink" Target="https://steamcommunity.com/sharedfiles/filedetails/?id=3333089221" TargetMode="External"/><Relationship Id="rId4" Type="http://schemas.openxmlformats.org/officeDocument/2006/relationships/hyperlink" Target="https://steamcommunity.com/sharedfiles/filedetails/?id=3383937563" TargetMode="External"/><Relationship Id="rId9" Type="http://schemas.openxmlformats.org/officeDocument/2006/relationships/hyperlink" Target="https://steamcommunity.com/sharedfiles/filedetails/?id=3350071047" TargetMode="External"/><Relationship Id="rId15" Type="http://schemas.openxmlformats.org/officeDocument/2006/relationships/hyperlink" Target="https://steamcommunity.com/sharedfiles/filedetails/?id=3376932577" TargetMode="External"/><Relationship Id="rId14" Type="http://schemas.openxmlformats.org/officeDocument/2006/relationships/hyperlink" Target="https://steamcommunity.com/sharedfiles/filedetails/?id=3376928850" TargetMode="External"/><Relationship Id="rId17" Type="http://schemas.openxmlformats.org/officeDocument/2006/relationships/hyperlink" Target="https://steamcommunity.com/sharedfiles/filedetails/?id=3337348590" TargetMode="External"/><Relationship Id="rId16" Type="http://schemas.openxmlformats.org/officeDocument/2006/relationships/hyperlink" Target="https://steamcommunity.com/sharedfiles/filedetails/?id=3376924908" TargetMode="External"/><Relationship Id="rId5" Type="http://schemas.openxmlformats.org/officeDocument/2006/relationships/hyperlink" Target="https://steamcommunity.com/sharedfiles/filedetails/?id=3333090940" TargetMode="External"/><Relationship Id="rId19" Type="http://schemas.openxmlformats.org/officeDocument/2006/relationships/drawing" Target="../drawings/drawing2.xml"/><Relationship Id="rId6" Type="http://schemas.openxmlformats.org/officeDocument/2006/relationships/hyperlink" Target="https://steamcommunity.com/sharedfiles/filedetails/?id=3333089969" TargetMode="External"/><Relationship Id="rId18" Type="http://schemas.openxmlformats.org/officeDocument/2006/relationships/hyperlink" Target="http://discord.gg/voltaic" TargetMode="External"/><Relationship Id="rId7" Type="http://schemas.openxmlformats.org/officeDocument/2006/relationships/hyperlink" Target="https://steamcommunity.com/sharedfiles/filedetails/?id=3333089847" TargetMode="External"/><Relationship Id="rId8" Type="http://schemas.openxmlformats.org/officeDocument/2006/relationships/hyperlink" Target="https://steamcommunity.com/sharedfiles/filedetails/?id=3351168781"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steamcommunity.com/sharedfiles/filedetails/?id=3369386818" TargetMode="External"/><Relationship Id="rId10" Type="http://schemas.openxmlformats.org/officeDocument/2006/relationships/hyperlink" Target="https://steamcommunity.com/sharedfiles/filedetails/?id=3333089867" TargetMode="External"/><Relationship Id="rId13" Type="http://schemas.openxmlformats.org/officeDocument/2006/relationships/hyperlink" Target="https://steamcommunity.com/sharedfiles/filedetails/?id=3376930131" TargetMode="External"/><Relationship Id="rId12" Type="http://schemas.openxmlformats.org/officeDocument/2006/relationships/hyperlink" Target="https://steamcommunity.com/sharedfiles/filedetails/?id=3376926337" TargetMode="External"/><Relationship Id="rId1" Type="http://schemas.openxmlformats.org/officeDocument/2006/relationships/hyperlink" Target="https://steamcommunity.com/sharedfiles/filedetails/?id=3333089912" TargetMode="External"/><Relationship Id="rId2" Type="http://schemas.openxmlformats.org/officeDocument/2006/relationships/hyperlink" Target="https://steamcommunity.com/sharedfiles/filedetails/?id=3365695379" TargetMode="External"/><Relationship Id="rId3" Type="http://schemas.openxmlformats.org/officeDocument/2006/relationships/hyperlink" Target="https://steamcommunity.com/sharedfiles/filedetails/?id=3333089918" TargetMode="External"/><Relationship Id="rId4" Type="http://schemas.openxmlformats.org/officeDocument/2006/relationships/hyperlink" Target="https://steamcommunity.com/sharedfiles/filedetails/?id=3383937227" TargetMode="External"/><Relationship Id="rId9" Type="http://schemas.openxmlformats.org/officeDocument/2006/relationships/hyperlink" Target="https://steamcommunity.com/sharedfiles/filedetails/?id=3350071059" TargetMode="External"/><Relationship Id="rId15" Type="http://schemas.openxmlformats.org/officeDocument/2006/relationships/hyperlink" Target="https://steamcommunity.com/sharedfiles/filedetails/?id=3376931932" TargetMode="External"/><Relationship Id="rId14" Type="http://schemas.openxmlformats.org/officeDocument/2006/relationships/hyperlink" Target="https://steamcommunity.com/sharedfiles/filedetails/?id=3376928311" TargetMode="External"/><Relationship Id="rId17" Type="http://schemas.openxmlformats.org/officeDocument/2006/relationships/hyperlink" Target="https://steamcommunity.com/sharedfiles/filedetails/?id=3337348609" TargetMode="External"/><Relationship Id="rId16" Type="http://schemas.openxmlformats.org/officeDocument/2006/relationships/hyperlink" Target="https://steamcommunity.com/sharedfiles/filedetails/?id=3376924216" TargetMode="External"/><Relationship Id="rId5" Type="http://schemas.openxmlformats.org/officeDocument/2006/relationships/hyperlink" Target="https://steamcommunity.com/sharedfiles/filedetails/?id=3333090934" TargetMode="External"/><Relationship Id="rId19" Type="http://schemas.openxmlformats.org/officeDocument/2006/relationships/drawing" Target="../drawings/drawing3.xml"/><Relationship Id="rId6" Type="http://schemas.openxmlformats.org/officeDocument/2006/relationships/hyperlink" Target="https://steamcommunity.com/sharedfiles/filedetails/?id=3333089945" TargetMode="External"/><Relationship Id="rId18" Type="http://schemas.openxmlformats.org/officeDocument/2006/relationships/hyperlink" Target="http://discord.gg/voltaic" TargetMode="External"/><Relationship Id="rId7" Type="http://schemas.openxmlformats.org/officeDocument/2006/relationships/hyperlink" Target="https://steamcommunity.com/sharedfiles/filedetails/?id=3333089842" TargetMode="External"/><Relationship Id="rId8" Type="http://schemas.openxmlformats.org/officeDocument/2006/relationships/hyperlink" Target="https://steamcommunity.com/sharedfiles/filedetails/?id=3351168797"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steamcommunity.com/sharedfiles/filedetails/?id=3364357196" TargetMode="External"/><Relationship Id="rId10" Type="http://schemas.openxmlformats.org/officeDocument/2006/relationships/hyperlink" Target="https://steamcommunity.com/sharedfiles/filedetails/?id=3333089860" TargetMode="External"/><Relationship Id="rId13" Type="http://schemas.openxmlformats.org/officeDocument/2006/relationships/hyperlink" Target="https://steamcommunity.com/sharedfiles/filedetails/?id=3376929432" TargetMode="External"/><Relationship Id="rId12" Type="http://schemas.openxmlformats.org/officeDocument/2006/relationships/hyperlink" Target="https://steamcommunity.com/sharedfiles/filedetails/?id=3376925780" TargetMode="External"/><Relationship Id="rId1" Type="http://schemas.openxmlformats.org/officeDocument/2006/relationships/hyperlink" Target="https://steamcommunity.com/sharedfiles/filedetails/?id=3333089932" TargetMode="External"/><Relationship Id="rId2" Type="http://schemas.openxmlformats.org/officeDocument/2006/relationships/hyperlink" Target="https://steamcommunity.com/sharedfiles/filedetails/?id=3333089252" TargetMode="External"/><Relationship Id="rId3" Type="http://schemas.openxmlformats.org/officeDocument/2006/relationships/hyperlink" Target="https://steamcommunity.com/sharedfiles/filedetails/?id=3333090928" TargetMode="External"/><Relationship Id="rId4" Type="http://schemas.openxmlformats.org/officeDocument/2006/relationships/hyperlink" Target="https://steamcommunity.com/sharedfiles/filedetails/?id=3383548654" TargetMode="External"/><Relationship Id="rId9" Type="http://schemas.openxmlformats.org/officeDocument/2006/relationships/hyperlink" Target="https://steamcommunity.com/sharedfiles/filedetails/?id=3350071080" TargetMode="External"/><Relationship Id="rId15" Type="http://schemas.openxmlformats.org/officeDocument/2006/relationships/hyperlink" Target="https://steamcommunity.com/sharedfiles/filedetails/?id=3376931373" TargetMode="External"/><Relationship Id="rId14" Type="http://schemas.openxmlformats.org/officeDocument/2006/relationships/hyperlink" Target="https://steamcommunity.com/sharedfiles/filedetails/?id=3376927735" TargetMode="External"/><Relationship Id="rId17" Type="http://schemas.openxmlformats.org/officeDocument/2006/relationships/hyperlink" Target="https://steamcommunity.com/sharedfiles/filedetails/?id=3337348636" TargetMode="External"/><Relationship Id="rId16" Type="http://schemas.openxmlformats.org/officeDocument/2006/relationships/hyperlink" Target="https://steamcommunity.com/sharedfiles/filedetails/?id=3376923553" TargetMode="External"/><Relationship Id="rId5" Type="http://schemas.openxmlformats.org/officeDocument/2006/relationships/hyperlink" Target="https://steamcommunity.com/sharedfiles/filedetails/?id=3333090930" TargetMode="External"/><Relationship Id="rId19" Type="http://schemas.openxmlformats.org/officeDocument/2006/relationships/drawing" Target="../drawings/drawing4.xml"/><Relationship Id="rId6" Type="http://schemas.openxmlformats.org/officeDocument/2006/relationships/hyperlink" Target="https://steamcommunity.com/sharedfiles/filedetails/?id=3333089961" TargetMode="External"/><Relationship Id="rId18" Type="http://schemas.openxmlformats.org/officeDocument/2006/relationships/hyperlink" Target="http://discord.gg/voltaic" TargetMode="External"/><Relationship Id="rId7" Type="http://schemas.openxmlformats.org/officeDocument/2006/relationships/hyperlink" Target="https://steamcommunity.com/sharedfiles/filedetails/?id=3333089224" TargetMode="External"/><Relationship Id="rId8" Type="http://schemas.openxmlformats.org/officeDocument/2006/relationships/hyperlink" Target="https://steamcommunity.com/sharedfiles/filedetails/?id=335125464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900FF"/>
    <outlinePr summaryBelow="0" summaryRight="0"/>
  </sheetPr>
  <sheetViews>
    <sheetView workbookViewId="0"/>
  </sheetViews>
  <sheetFormatPr customHeight="1" defaultColWidth="12.63" defaultRowHeight="15.75"/>
  <cols>
    <col customWidth="1" min="1" max="1" width="19.75"/>
  </cols>
  <sheetData>
    <row r="1" ht="21.0" customHeight="1">
      <c r="A1" s="1" t="s">
        <v>0</v>
      </c>
    </row>
    <row r="2" ht="32.25" customHeight="1">
      <c r="A2" s="2" t="s">
        <v>1</v>
      </c>
    </row>
    <row r="3" ht="22.5" customHeight="1">
      <c r="A3" s="3" t="s">
        <v>2</v>
      </c>
    </row>
    <row r="4" ht="22.5" customHeight="1">
      <c r="A4" s="4" t="s">
        <v>3</v>
      </c>
    </row>
    <row r="5" ht="22.5" customHeight="1">
      <c r="A5" s="4" t="s">
        <v>4</v>
      </c>
    </row>
    <row r="6" ht="22.5" customHeight="1">
      <c r="A6" s="4" t="s">
        <v>5</v>
      </c>
    </row>
    <row r="7" ht="22.5" customHeight="1">
      <c r="A7" s="4" t="s">
        <v>6</v>
      </c>
    </row>
    <row r="8" ht="22.5" customHeight="1">
      <c r="A8" s="5" t="s">
        <v>7</v>
      </c>
    </row>
    <row r="9" ht="22.5" customHeight="1">
      <c r="A9" s="5" t="s">
        <v>8</v>
      </c>
    </row>
    <row r="10" ht="22.5" customHeight="1">
      <c r="A10" s="5" t="s">
        <v>9</v>
      </c>
    </row>
    <row r="11" ht="22.5" customHeight="1">
      <c r="A11" s="6" t="s">
        <v>10</v>
      </c>
    </row>
    <row r="12" ht="22.5" customHeight="1">
      <c r="A12" s="5" t="s">
        <v>11</v>
      </c>
    </row>
    <row r="13" ht="22.5" customHeight="1">
      <c r="A13" s="5" t="s">
        <v>12</v>
      </c>
    </row>
    <row r="14" ht="22.5" customHeight="1">
      <c r="A14" s="4" t="s">
        <v>13</v>
      </c>
    </row>
    <row r="15" ht="22.5" customHeight="1">
      <c r="A15" s="5" t="s">
        <v>14</v>
      </c>
    </row>
    <row r="16" ht="24.75" customHeight="1">
      <c r="A16" s="7" t="s">
        <v>15</v>
      </c>
      <c r="B16" s="8" t="s">
        <v>16</v>
      </c>
      <c r="C16" s="9"/>
      <c r="D16" s="9"/>
      <c r="E16" s="9"/>
      <c r="F16" s="10" t="s">
        <v>17</v>
      </c>
      <c r="G16" s="11"/>
      <c r="H16" s="11"/>
      <c r="I16" s="11"/>
      <c r="J16" s="12" t="s">
        <v>18</v>
      </c>
      <c r="K16" s="13"/>
      <c r="L16" s="13"/>
      <c r="M16" s="13"/>
    </row>
    <row r="17" ht="25.5" customHeight="1">
      <c r="A17" s="14"/>
      <c r="B17" s="15" t="s">
        <v>19</v>
      </c>
      <c r="C17" s="14"/>
      <c r="D17" s="14"/>
      <c r="E17" s="14"/>
      <c r="F17" s="16" t="s">
        <v>20</v>
      </c>
      <c r="G17" s="14"/>
      <c r="H17" s="14"/>
      <c r="I17" s="14"/>
      <c r="J17" s="17" t="s">
        <v>21</v>
      </c>
      <c r="K17" s="14"/>
      <c r="L17" s="14"/>
      <c r="M17" s="14"/>
    </row>
    <row r="18" ht="25.5" customHeight="1">
      <c r="A18" s="18" t="s">
        <v>22</v>
      </c>
      <c r="B18" s="19" t="str">
        <f>IFERROR(__xludf.DUMMYFUNCTION("importrange(""https://docs.google.com/spreadsheets/d/1QpiWrPmnZBx1RuofZtIGCS-oMK8ehqXWzsSoP8Mi0_8"", ""Benchmarks!E3:H4"")"),"Iron")</f>
        <v>Iron</v>
      </c>
      <c r="C18" s="20" t="str">
        <f>IFERROR(__xludf.DUMMYFUNCTION("""COMPUTED_VALUE"""),"Bronze")</f>
        <v>Bronze</v>
      </c>
      <c r="D18" s="21" t="str">
        <f>IFERROR(__xludf.DUMMYFUNCTION("""COMPUTED_VALUE"""),"Silver")</f>
        <v>Silver</v>
      </c>
      <c r="E18" s="22" t="str">
        <f>IFERROR(__xludf.DUMMYFUNCTION("""COMPUTED_VALUE"""),"Gold")</f>
        <v>Gold</v>
      </c>
      <c r="F18" s="23" t="str">
        <f>IFERROR(__xludf.DUMMYFUNCTION("importrange(""https://docs.google.com/spreadsheets/d/1QpiWrPmnZBx1RuofZtIGCS-oMK8ehqXWzsSoP8Mi0_8"", ""Benchmarks!M3:P4"")"),"Platinum")</f>
        <v>Platinum</v>
      </c>
      <c r="G18" s="24" t="str">
        <f>IFERROR(__xludf.DUMMYFUNCTION("""COMPUTED_VALUE"""),"Diamond")</f>
        <v>Diamond</v>
      </c>
      <c r="H18" s="25" t="str">
        <f>IFERROR(__xludf.DUMMYFUNCTION("""COMPUTED_VALUE"""),"Jade")</f>
        <v>Jade</v>
      </c>
      <c r="I18" s="26" t="str">
        <f>IFERROR(__xludf.DUMMYFUNCTION("""COMPUTED_VALUE"""),"Master")</f>
        <v>Master</v>
      </c>
      <c r="J18" s="27" t="str">
        <f>IFERROR(__xludf.DUMMYFUNCTION("importrange(""https://docs.google.com/spreadsheets/d/1QpiWrPmnZBx1RuofZtIGCS-oMK8ehqXWzsSoP8Mi0_8"", ""Benchmarks!U3:X4"")"),"Grandmaster")</f>
        <v>Grandmaster</v>
      </c>
      <c r="K18" s="28" t="str">
        <f>IFERROR(__xludf.DUMMYFUNCTION("""COMPUTED_VALUE"""),"Nova")</f>
        <v>Nova</v>
      </c>
      <c r="L18" s="29" t="str">
        <f>IFERROR(__xludf.DUMMYFUNCTION("""COMPUTED_VALUE"""),"Astra")</f>
        <v>Astra</v>
      </c>
      <c r="M18" s="30" t="str">
        <f>IFERROR(__xludf.DUMMYFUNCTION("""COMPUTED_VALUE"""),"Celestial")</f>
        <v>Celestial</v>
      </c>
    </row>
    <row r="19" ht="25.5" customHeight="1">
      <c r="A19" s="31" t="s">
        <v>23</v>
      </c>
      <c r="B19" s="32">
        <f>IFERROR(__xludf.DUMMYFUNCTION("""COMPUTED_VALUE"""),100.0)</f>
        <v>100</v>
      </c>
      <c r="C19" s="33">
        <f>IFERROR(__xludf.DUMMYFUNCTION("""COMPUTED_VALUE"""),200.0)</f>
        <v>200</v>
      </c>
      <c r="D19" s="34">
        <f>IFERROR(__xludf.DUMMYFUNCTION("""COMPUTED_VALUE"""),300.0)</f>
        <v>300</v>
      </c>
      <c r="E19" s="35">
        <f>IFERROR(__xludf.DUMMYFUNCTION("""COMPUTED_VALUE"""),400.0)</f>
        <v>400</v>
      </c>
      <c r="F19" s="36">
        <f>IFERROR(__xludf.DUMMYFUNCTION("""COMPUTED_VALUE"""),500.0)</f>
        <v>500</v>
      </c>
      <c r="G19" s="37">
        <f>IFERROR(__xludf.DUMMYFUNCTION("""COMPUTED_VALUE"""),600.0)</f>
        <v>600</v>
      </c>
      <c r="H19" s="38">
        <f>IFERROR(__xludf.DUMMYFUNCTION("""COMPUTED_VALUE"""),700.0)</f>
        <v>700</v>
      </c>
      <c r="I19" s="39">
        <f>IFERROR(__xludf.DUMMYFUNCTION("""COMPUTED_VALUE"""),800.0)</f>
        <v>800</v>
      </c>
      <c r="J19" s="40">
        <f>IFERROR(__xludf.DUMMYFUNCTION("""COMPUTED_VALUE"""),900.0)</f>
        <v>900</v>
      </c>
      <c r="K19" s="41">
        <f>IFERROR(__xludf.DUMMYFUNCTION("""COMPUTED_VALUE"""),1000.0)</f>
        <v>1000</v>
      </c>
      <c r="L19" s="42">
        <f>IFERROR(__xludf.DUMMYFUNCTION("""COMPUTED_VALUE"""),1100.0)</f>
        <v>1100</v>
      </c>
      <c r="M19" s="43">
        <f>IFERROR(__xludf.DUMMYFUNCTION("""COMPUTED_VALUE"""),1200.0)</f>
        <v>1200</v>
      </c>
    </row>
    <row r="20" ht="25.5" customHeight="1">
      <c r="A20" s="44" t="str">
        <f>IFERROR(__xludf.DUMMYFUNCTION("if(importrange(""https://docs.google.com/spreadsheets/d/1JxRnDKurkxZO94D2V46kmGWozPF7dbOpsMfWZL85LvU"", ""Changelog!A2:A2"")=indirect(""Changelog!A2""), concatenate(""Sheet Version: "", Changelog!A2), hyperlink(""https://docs.google.com/spreadsheets/d/1Jx"&amp;"RnDKurkxZO94D2V46kmGWozPF7dbOpsMfWZL85LvU"", ""Outdated version, click link &amp; make a new copy!""))"),"Sheet Version: 1.0.7")</f>
        <v>Sheet Version: 1.0.7</v>
      </c>
    </row>
    <row r="21" ht="25.5" customHeight="1">
      <c r="A21" s="45" t="s">
        <v>24</v>
      </c>
      <c r="B21" s="46" t="str">
        <f>HYPERLINK("https://voltaic.gg/", "Website↗")</f>
        <v>Website↗</v>
      </c>
      <c r="D21" s="46" t="str">
        <f>HYPERLINK("http://discord.gg/voltaic","Discord↗")</f>
        <v>Discord↗</v>
      </c>
      <c r="F21" s="47" t="s">
        <v>25</v>
      </c>
      <c r="H21" s="47" t="s">
        <v>26</v>
      </c>
      <c r="J21" s="46" t="str">
        <f>HYPERLINK("","Guide↗")</f>
        <v>Guide↗</v>
      </c>
      <c r="L21" s="46" t="str">
        <f>HYPERLINK("https://docs.google.com/document/d/1omExq_y4ld9vkvbTFkLdjlT5UwQpvYSgyk5PgA7nrzM/edit?usp=sharing","Rules↗")</f>
        <v>Rules↗</v>
      </c>
    </row>
    <row r="22" ht="25.5" customHeight="1"/>
  </sheetData>
  <mergeCells count="30">
    <mergeCell ref="A1:M1"/>
    <mergeCell ref="A2:M2"/>
    <mergeCell ref="A3:M3"/>
    <mergeCell ref="A4:M4"/>
    <mergeCell ref="A5:M5"/>
    <mergeCell ref="A6:M6"/>
    <mergeCell ref="A7:M7"/>
    <mergeCell ref="A8:M8"/>
    <mergeCell ref="A9:M9"/>
    <mergeCell ref="A10:M10"/>
    <mergeCell ref="A11:M11"/>
    <mergeCell ref="A12:M12"/>
    <mergeCell ref="A13:M13"/>
    <mergeCell ref="A14:M14"/>
    <mergeCell ref="A15:M15"/>
    <mergeCell ref="A16:A17"/>
    <mergeCell ref="B16:E16"/>
    <mergeCell ref="F16:I16"/>
    <mergeCell ref="J16:M16"/>
    <mergeCell ref="B17:E17"/>
    <mergeCell ref="F17:I17"/>
    <mergeCell ref="J21:K22"/>
    <mergeCell ref="L21:M22"/>
    <mergeCell ref="J17:M17"/>
    <mergeCell ref="A20:M20"/>
    <mergeCell ref="A21:A22"/>
    <mergeCell ref="B21:C22"/>
    <mergeCell ref="D21:E22"/>
    <mergeCell ref="F21:G22"/>
    <mergeCell ref="H21:I22"/>
  </mergeCells>
  <conditionalFormatting sqref="A20:M20">
    <cfRule type="containsText" dxfId="0" priority="1" operator="containsText" text="Outdated">
      <formula>NOT(ISERROR(SEARCH(("Outdated"),(A20))))</formula>
    </cfRule>
  </conditionalFormatting>
  <hyperlinks>
    <hyperlink r:id="rId1" location=":~:text=The%20harmonic%20mean%20is%20a,arithmetic%20mean%20of%20the%20reciprocals." ref="A11"/>
    <hyperlink display="Click to navigate to the Novice Benchmarks" location="Novice!A1" ref="B16"/>
    <hyperlink display="Click to navigate to the Intermediate Benchmarks" location="Intermediate!A1" ref="F16"/>
    <hyperlink display="Click to navigate to the Advanced Benchmarks" location="Advanced!A1" ref="J16"/>
    <hyperlink r:id="rId2" ref="F21"/>
    <hyperlink r:id="rId3" ref="H2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56F"/>
    <outlinePr summaryBelow="0" summaryRight="0"/>
  </sheetPr>
  <sheetViews>
    <sheetView workbookViewId="0"/>
  </sheetViews>
  <sheetFormatPr customHeight="1" defaultColWidth="12.63" defaultRowHeight="15.75"/>
  <cols>
    <col customWidth="1" min="1" max="2" width="5.0"/>
    <col customWidth="1" min="3" max="3" width="22.63"/>
    <col customWidth="1" hidden="1" min="4" max="4" width="22.63"/>
    <col customWidth="1" min="5" max="5" width="0.38"/>
    <col customWidth="1" min="6" max="7" width="9.5"/>
    <col customWidth="1" min="8" max="8" width="6.38"/>
    <col customWidth="1" hidden="1" min="9" max="12" width="6.38"/>
    <col customWidth="1" min="13" max="16" width="11.0"/>
  </cols>
  <sheetData>
    <row r="1" ht="26.25" customHeight="1">
      <c r="A1" s="48" t="s">
        <v>27</v>
      </c>
      <c r="D1" s="48"/>
      <c r="E1" s="49" t="str">
        <f t="array" ref="E1">concatenate(choose(match(H2, {0, M2:P2}), "Unranked", M1, N1, O1, P1), if(and(F3:F20 &gt;= choose(match(H2, {0, M2:P2}), 1E+99, M3:M20, N3:N20, O3:O20, P3:P20)), " Complete", ""))</f>
        <v>Unranked</v>
      </c>
      <c r="H1" s="50" t="s">
        <v>28</v>
      </c>
      <c r="I1" s="50"/>
      <c r="J1" s="50"/>
      <c r="K1" s="50"/>
      <c r="L1" s="50"/>
      <c r="M1" s="19" t="str">
        <f>IFERROR(__xludf.DUMMYFUNCTION("importrange(""https://docs.google.com/spreadsheets/d/1JxRnDKurkxZO94D2V46kmGWozPF7dbOpsMfWZL85LvU"", ""Novice!M1:P20"")"),"Iron")</f>
        <v>Iron</v>
      </c>
      <c r="N1" s="20" t="str">
        <f>IFERROR(__xludf.DUMMYFUNCTION("""COMPUTED_VALUE"""),"Bronze")</f>
        <v>Bronze</v>
      </c>
      <c r="O1" s="21" t="str">
        <f>IFERROR(__xludf.DUMMYFUNCTION("""COMPUTED_VALUE"""),"Silver")</f>
        <v>Silver</v>
      </c>
      <c r="P1" s="22" t="str">
        <f>IFERROR(__xludf.DUMMYFUNCTION("""COMPUTED_VALUE"""),"Gold")</f>
        <v>Gold</v>
      </c>
    </row>
    <row r="2" ht="26.25" customHeight="1">
      <c r="A2" s="51"/>
      <c r="B2" s="52"/>
      <c r="C2" s="53" t="s">
        <v>29</v>
      </c>
      <c r="D2" s="53"/>
      <c r="E2" s="53"/>
      <c r="F2" s="53" t="s">
        <v>30</v>
      </c>
      <c r="G2" s="53" t="s">
        <v>31</v>
      </c>
      <c r="H2" s="54">
        <f>iferror(trunc(harmean(H3:H20)), 0)</f>
        <v>0</v>
      </c>
      <c r="I2" s="54"/>
      <c r="J2" s="54"/>
      <c r="K2" s="54"/>
      <c r="L2" s="54"/>
      <c r="M2" s="32">
        <f>IFERROR(__xludf.DUMMYFUNCTION("""COMPUTED_VALUE"""),100.0)</f>
        <v>100</v>
      </c>
      <c r="N2" s="33">
        <f>IFERROR(__xludf.DUMMYFUNCTION("""COMPUTED_VALUE"""),200.0)</f>
        <v>200</v>
      </c>
      <c r="O2" s="55">
        <f>IFERROR(__xludf.DUMMYFUNCTION("""COMPUTED_VALUE"""),300.0)</f>
        <v>300</v>
      </c>
      <c r="P2" s="35">
        <f>IFERROR(__xludf.DUMMYFUNCTION("""COMPUTED_VALUE"""),400.0)</f>
        <v>400</v>
      </c>
    </row>
    <row r="3" ht="26.25" customHeight="1">
      <c r="A3" s="56" t="s">
        <v>32</v>
      </c>
      <c r="B3" s="57" t="s">
        <v>33</v>
      </c>
      <c r="C3" s="58" t="str">
        <f>IFERROR(__xludf.DUMMYFUNCTION("importrange(""https://docs.google.com/spreadsheets/d/1JxRnDKurkxZO94D2V46kmGWozPF7dbOpsMfWZL85LvU"", ""Novice!C3:C20"")")," VT Pasu Novice S5")</f>
        <v>VT Pasu Novice S5</v>
      </c>
      <c r="D3" s="59"/>
      <c r="E3" s="60"/>
      <c r="F3" s="49"/>
      <c r="G3" s="61" t="str">
        <f>IFERROR(__xludf.DUMMYFUNCTION("sparkline(
  F3 - choose(match(F3, {0, M3:P3}), 0, M3, N3, O3, P3),
  {
    ""charttype"", ""bar"";
    ""max"", choose(match(F3, {0, M3:P3}), M3, N3-M3, O3-N3, P3-O3, 0);
    ""nan"", ""ignore"";
    ""color1"", iferror(choose(match(F3, {0, M3:P3}),
    "&amp;"  ""#999999"",
      ""#ff9900"",
      ""#cbd9e6"",
      ""#cab148"",
      ""#e5d9b4""
    ))
  }
)
"),"")</f>
        <v/>
      </c>
      <c r="H3" s="62">
        <f t="array" ref="H3">trunc(min(Intermediate!M$2, max(
choose(match(F3, {0, M3:P3}), 0, M$2, N$2, O$2, P$2)
 + (F3 - choose(match(F3, {0, M3:P3}), 0, M3, N3, O3, P3))
 / choose(match(F3, {0, M3:P3}), M3, N3-M3, O3-N3, P3-O3, P3-O3)
 * choose(match(F3, {0, M3:P3}), M$2, N$2-M$2, O$2-N$2, P$2-O$2, P$2-O$2),
choose(match(F4, {0, M4:P4}), 0, M$2, N$2, O$2, P$2)
 + (F4 - choose(match(F4, {0, M4:P4}), 0, M4, N4, O4, P4))
 / choose(match(F4, {0, M4:P4}), M4, N4-M4, O4-N4, P4-O4, P4-O4)
 * choose(match(F4, {0, M4:P4}), M$2, N$2-M$2, O$2-N$2, P$2-O$2, P$2-O$2)
)))</f>
        <v>0</v>
      </c>
      <c r="I3" s="62"/>
      <c r="J3" s="62"/>
      <c r="K3" s="62"/>
      <c r="L3" s="62"/>
      <c r="M3" s="63">
        <f>IFERROR(__xludf.DUMMYFUNCTION("""COMPUTED_VALUE"""),555.0)</f>
        <v>555</v>
      </c>
      <c r="N3" s="64">
        <f>IFERROR(__xludf.DUMMYFUNCTION("""COMPUTED_VALUE"""),660.0)</f>
        <v>660</v>
      </c>
      <c r="O3" s="65">
        <f>IFERROR(__xludf.DUMMYFUNCTION("""COMPUTED_VALUE"""),745.0)</f>
        <v>745</v>
      </c>
      <c r="P3" s="66">
        <f>IFERROR(__xludf.DUMMYFUNCTION("""COMPUTED_VALUE"""),800.0)</f>
        <v>800</v>
      </c>
    </row>
    <row r="4" ht="26.25" customHeight="1">
      <c r="C4" s="58" t="str">
        <f>IFERROR(__xludf.DUMMYFUNCTION("""COMPUTED_VALUE""")," VT Popcorn Novice S5")</f>
        <v>VT Popcorn Novice S5</v>
      </c>
      <c r="D4" s="59"/>
      <c r="E4" s="60"/>
      <c r="F4" s="49"/>
      <c r="G4" s="61" t="str">
        <f>IFERROR(__xludf.DUMMYFUNCTION("sparkline(
  F4 - choose(match(F4, {0, M4:P4}), 0, M4, N4, O4, P4),
  {
    ""charttype"", ""bar"";
    ""max"", choose(match(F4, {0, M4:P4}), M4, N4-M4, O4-N4, P4-O4, 0);
    ""nan"", ""ignore"";
    ""color1"", iferror(choose(match(F4, {0, M4:P4}),
    "&amp;"  ""#999999"",
      ""#ff9900"",
      ""#cbd9e6"",
      ""#cab148"",
      ""#e5d9b4""
    ))
  }
)
"),"")</f>
        <v/>
      </c>
      <c r="I4" s="62"/>
      <c r="J4" s="62"/>
      <c r="K4" s="62"/>
      <c r="L4" s="62"/>
      <c r="M4" s="63">
        <f>IFERROR(__xludf.DUMMYFUNCTION("""COMPUTED_VALUE"""),390.0)</f>
        <v>390</v>
      </c>
      <c r="N4" s="64">
        <f>IFERROR(__xludf.DUMMYFUNCTION("""COMPUTED_VALUE"""),500.0)</f>
        <v>500</v>
      </c>
      <c r="O4" s="65">
        <f>IFERROR(__xludf.DUMMYFUNCTION("""COMPUTED_VALUE"""),600.0)</f>
        <v>600</v>
      </c>
      <c r="P4" s="66">
        <f>IFERROR(__xludf.DUMMYFUNCTION("""COMPUTED_VALUE"""),720.0)</f>
        <v>720</v>
      </c>
    </row>
    <row r="5" ht="26.25" customHeight="1">
      <c r="B5" s="67" t="s">
        <v>34</v>
      </c>
      <c r="C5" s="68" t="str">
        <f>IFERROR(__xludf.DUMMYFUNCTION("""COMPUTED_VALUE""")," VT 1w4ts Novice S5")</f>
        <v>VT 1w4ts Novice S5</v>
      </c>
      <c r="D5" s="69"/>
      <c r="E5" s="60"/>
      <c r="F5" s="49"/>
      <c r="G5" s="61" t="str">
        <f>IFERROR(__xludf.DUMMYFUNCTION("sparkline(
  F5 - choose(match(F5, {0, M5:P5}), 0, M5, N5, O5, P5),
  {
    ""charttype"", ""bar"";
    ""max"", choose(match(F5, {0, M5:P5}), M5, N5-M5, O5-N5, P5-O5, 0);
    ""nan"", ""ignore"";
    ""color1"", iferror(choose(match(F5, {0, M5:P5}),
    "&amp;"  ""#999999"",
      ""#ff9900"",
      ""#cbd9e6"",
      ""#cab148"",
      ""#e5d9b4""
    ))
  }
)
"),"")</f>
        <v/>
      </c>
      <c r="H5" s="62">
        <f t="array" ref="H5">trunc(min(Intermediate!M$2, max(
choose(match(F5, {0, M5:P5}), 0, M$2, N$2, O$2, P$2)
 + (F5 - choose(match(F5, {0, M5:P5}), 0, M5, N5, O5, P5))
 / choose(match(F5, {0, M5:P5}), M5, N5-M5, O5-N5, P5-O5, P5-O5)
 * choose(match(F5, {0, M5:P5}), M$2, N$2-M$2, O$2-N$2, P$2-O$2, P$2-O$2),
choose(match(F6, {0, M6:P6}), 0, M$2, N$2, O$2, P$2)
 + (F6 - choose(match(F6, {0, M6:P6}), 0, M6, N6, O6, P6))
 / choose(match(F6, {0, M6:P6}), M6, N6-M6, O6-N6, P6-O6, P6-O6)
 * choose(match(F6, {0, M6:P6}), M$2, N$2-M$2, O$2-N$2, P$2-O$2, P$2-O$2)
)))</f>
        <v>0</v>
      </c>
      <c r="I5" s="62"/>
      <c r="J5" s="62"/>
      <c r="K5" s="62"/>
      <c r="L5" s="62"/>
      <c r="M5" s="70">
        <f>IFERROR(__xludf.DUMMYFUNCTION("""COMPUTED_VALUE"""),820.0)</f>
        <v>820</v>
      </c>
      <c r="N5" s="64">
        <f>IFERROR(__xludf.DUMMYFUNCTION("""COMPUTED_VALUE"""),915.0)</f>
        <v>915</v>
      </c>
      <c r="O5" s="65">
        <f>IFERROR(__xludf.DUMMYFUNCTION("""COMPUTED_VALUE"""),1010.0)</f>
        <v>1010</v>
      </c>
      <c r="P5" s="66">
        <f>IFERROR(__xludf.DUMMYFUNCTION("""COMPUTED_VALUE"""),1110.0)</f>
        <v>1110</v>
      </c>
    </row>
    <row r="6" ht="26.25" customHeight="1">
      <c r="C6" s="71" t="str">
        <f>IFERROR(__xludf.DUMMYFUNCTION("""COMPUTED_VALUE""")," VT ww5t Novice S5")</f>
        <v>VT ww5t Novice S5</v>
      </c>
      <c r="D6" s="72"/>
      <c r="E6" s="60"/>
      <c r="F6" s="49"/>
      <c r="G6" s="61" t="str">
        <f>IFERROR(__xludf.DUMMYFUNCTION("sparkline(
  F6 - choose(match(F6, {0, M6:P6}), 0, M6, N6, O6, P6),
  {
    ""charttype"", ""bar"";
    ""max"", choose(match(F6, {0, M6:P6}), M6, N6-M6, O6-N6, P6-O6, 0);
    ""nan"", ""ignore"";
    ""color1"", iferror(choose(match(F6, {0, M6:P6}),
    "&amp;"  ""#999999"",
      ""#ff9900"",
      ""#cbd9e6"",
      ""#cab148"",
      ""#e5d9b4""
    ))
  }
)
"),"")</f>
        <v/>
      </c>
      <c r="I6" s="62"/>
      <c r="J6" s="62"/>
      <c r="K6" s="62"/>
      <c r="L6" s="62"/>
      <c r="M6" s="70">
        <f>IFERROR(__xludf.DUMMYFUNCTION("""COMPUTED_VALUE"""),990.0)</f>
        <v>990</v>
      </c>
      <c r="N6" s="64">
        <f>IFERROR(__xludf.DUMMYFUNCTION("""COMPUTED_VALUE"""),1090.0)</f>
        <v>1090</v>
      </c>
      <c r="O6" s="65">
        <f>IFERROR(__xludf.DUMMYFUNCTION("""COMPUTED_VALUE"""),1190.0)</f>
        <v>1190</v>
      </c>
      <c r="P6" s="66">
        <f>IFERROR(__xludf.DUMMYFUNCTION("""COMPUTED_VALUE"""),1290.0)</f>
        <v>1290</v>
      </c>
    </row>
    <row r="7" ht="26.25" customHeight="1">
      <c r="B7" s="73" t="s">
        <v>35</v>
      </c>
      <c r="C7" s="74" t="str">
        <f>IFERROR(__xludf.DUMMYFUNCTION("""COMPUTED_VALUE""")," VT Frogtagon Novice S5")</f>
        <v>VT Frogtagon Novice S5</v>
      </c>
      <c r="D7" s="75"/>
      <c r="E7" s="60"/>
      <c r="F7" s="49"/>
      <c r="G7" s="61" t="str">
        <f>IFERROR(__xludf.DUMMYFUNCTION("sparkline(
  F7 - choose(match(F7, {0, M7:P7}), 0, M7, N7, O7, P7),
  {
    ""charttype"", ""bar"";
    ""max"", choose(match(F7, {0, M7:P7}), M7, N7-M7, O7-N7, P7-O7, 0);
    ""nan"", ""ignore"";
    ""color1"", iferror(choose(match(F7, {0, M7:P7}),
    "&amp;"  ""#999999"",
      ""#ff9900"",
      ""#cbd9e6"",
      ""#cab148"",
      ""#e5d9b4""
    ))
  }
)
"),"")</f>
        <v/>
      </c>
      <c r="H7" s="62">
        <f t="array" ref="H7">trunc(min(Intermediate!M$2, max(
choose(match(F7, {0, M7:P7}), 0, M$2, N$2, O$2, P$2)
 + (F7 - choose(match(F7, {0, M7:P7}), 0, M7, N7, O7, P7))
 / choose(match(F7, {0, M7:P7}), M7, N7-M7, O7-N7, P7-O7, P7-O7)
 * choose(match(F7, {0, M7:P7}), M$2, N$2-M$2, O$2-N$2, P$2-O$2, P$2-O$2),
choose(match(F8, {0, M8:P8}), 0, M$2, N$2, O$2, P$2)
 + (F8 - choose(match(F8, {0, M8:P8}), 0, M8, N8, O8, P8))
 / choose(match(F8, {0, M8:P8}), M8, N8-M8, O8-N8, P8-O8, P8-O8)
 * choose(match(F8, {0, M8:P8}), M$2, N$2-M$2, O$2-N$2, P$2-O$2, P$2-O$2)
)))</f>
        <v>0</v>
      </c>
      <c r="I7" s="62"/>
      <c r="J7" s="62"/>
      <c r="K7" s="62"/>
      <c r="L7" s="62"/>
      <c r="M7" s="70">
        <f>IFERROR(__xludf.DUMMYFUNCTION("""COMPUTED_VALUE"""),620.0)</f>
        <v>620</v>
      </c>
      <c r="N7" s="64">
        <f>IFERROR(__xludf.DUMMYFUNCTION("""COMPUTED_VALUE"""),740.0)</f>
        <v>740</v>
      </c>
      <c r="O7" s="65">
        <f>IFERROR(__xludf.DUMMYFUNCTION("""COMPUTED_VALUE"""),850.0)</f>
        <v>850</v>
      </c>
      <c r="P7" s="66">
        <f>IFERROR(__xludf.DUMMYFUNCTION("""COMPUTED_VALUE"""),980.0)</f>
        <v>980</v>
      </c>
    </row>
    <row r="8" ht="26.25" customHeight="1">
      <c r="C8" s="74" t="str">
        <f>IFERROR(__xludf.DUMMYFUNCTION("""COMPUTED_VALUE""")," VT Floating Heads Novice S5")</f>
        <v>VT Floating Heads Novice S5</v>
      </c>
      <c r="D8" s="75"/>
      <c r="E8" s="60"/>
      <c r="F8" s="49"/>
      <c r="G8" s="61" t="str">
        <f>IFERROR(__xludf.DUMMYFUNCTION("sparkline(
  F8 - choose(match(F8, {0, M8:P8}), 0, M8, N8, O8, P8),
  {
    ""charttype"", ""bar"";
    ""max"", choose(match(F8, {0, M8:P8}), M8, N8-M8, O8-N8, P8-O8, 0);
    ""nan"", ""ignore"";
    ""color1"", iferror(choose(match(F8, {0, M8:P8}),
    "&amp;"  ""#999999"",
      ""#ff9900"",
      ""#cbd9e6"",
      ""#cab148"",
      ""#e5d9b4""
    ))
  }
)
"),"")</f>
        <v/>
      </c>
      <c r="I8" s="62"/>
      <c r="J8" s="62"/>
      <c r="K8" s="62"/>
      <c r="L8" s="62"/>
      <c r="M8" s="70">
        <f>IFERROR(__xludf.DUMMYFUNCTION("""COMPUTED_VALUE"""),375.0)</f>
        <v>375</v>
      </c>
      <c r="N8" s="64">
        <f>IFERROR(__xludf.DUMMYFUNCTION("""COMPUTED_VALUE"""),460.0)</f>
        <v>460</v>
      </c>
      <c r="O8" s="65">
        <f>IFERROR(__xludf.DUMMYFUNCTION("""COMPUTED_VALUE"""),540.0)</f>
        <v>540</v>
      </c>
      <c r="P8" s="66">
        <f>IFERROR(__xludf.DUMMYFUNCTION("""COMPUTED_VALUE"""),640.0)</f>
        <v>640</v>
      </c>
    </row>
    <row r="9" ht="26.25" customHeight="1">
      <c r="A9" s="76" t="s">
        <v>36</v>
      </c>
      <c r="B9" s="77" t="s">
        <v>37</v>
      </c>
      <c r="C9" s="78" t="str">
        <f>IFERROR(__xludf.DUMMYFUNCTION("""COMPUTED_VALUE""")," VT PGT Novice S5")</f>
        <v>VT PGT Novice S5</v>
      </c>
      <c r="D9" s="79"/>
      <c r="E9" s="60"/>
      <c r="F9" s="49"/>
      <c r="G9" s="61" t="str">
        <f>IFERROR(__xludf.DUMMYFUNCTION("sparkline(
  F9 - choose(match(F9, {0, M9:P9}), 0, M9, N9, O9, P9),
  {
    ""charttype"", ""bar"";
    ""max"", choose(match(F9, {0, M9:P9}), M9, N9-M9, O9-N9, P9-O9, 0);
    ""nan"", ""ignore"";
    ""color1"", iferror(choose(match(F9, {0, M9:P9}),
    "&amp;"  ""#999999"",
      ""#ff9900"",
      ""#cbd9e6"",
      ""#cab148"",
      ""#e5d9b4""
    ))
  }
)
"),"")</f>
        <v/>
      </c>
      <c r="H9" s="62">
        <f t="array" ref="H9">trunc(min(Intermediate!M$2, max(
choose(match(F9, {0, M9:P9}), 0, M$2, N$2, O$2, P$2)
 + (F9 - choose(match(F9, {0, M9:P9}), 0, M9, N9, O9, P9))
 / choose(match(F9, {0, M9:P9}), M9, N9-M9, O9-N9, P9-O9, P9-O9)
 * choose(match(F9, {0, M9:P9}), M$2, N$2-M$2, O$2-N$2, P$2-O$2, P$2-O$2),
choose(match(F10, {0, M10:P10}), 0, M$2, N$2, O$2, P$2)
 + (F10 - choose(match(F10, {0, M10:P10}), 0, M10, N10, O10, P10))
 / choose(match(F10, {0, M10:P10}), M10, N10-M10, O10-N10, P10-O10, P10-O10)
 * choose(match(F10, {0, M10:P10}), M$2, N$2-M$2, O$2-N$2, P$2-O$2, P$2-O$2)
)))</f>
        <v>0</v>
      </c>
      <c r="I9" s="62"/>
      <c r="J9" s="62"/>
      <c r="K9" s="62"/>
      <c r="L9" s="62"/>
      <c r="M9" s="70">
        <f>IFERROR(__xludf.DUMMYFUNCTION("""COMPUTED_VALUE"""),1900.0)</f>
        <v>1900</v>
      </c>
      <c r="N9" s="64">
        <f>IFERROR(__xludf.DUMMYFUNCTION("""COMPUTED_VALUE"""),2325.0)</f>
        <v>2325</v>
      </c>
      <c r="O9" s="65">
        <f>IFERROR(__xludf.DUMMYFUNCTION("""COMPUTED_VALUE"""),2775.0)</f>
        <v>2775</v>
      </c>
      <c r="P9" s="66">
        <f>IFERROR(__xludf.DUMMYFUNCTION("""COMPUTED_VALUE"""),3050.0)</f>
        <v>3050</v>
      </c>
    </row>
    <row r="10" ht="26.25" customHeight="1">
      <c r="C10" s="78" t="str">
        <f>IFERROR(__xludf.DUMMYFUNCTION("""COMPUTED_VALUE""")," VT Snake Track Novice S5")</f>
        <v>VT Snake Track Novice S5</v>
      </c>
      <c r="D10" s="79"/>
      <c r="E10" s="60"/>
      <c r="F10" s="49"/>
      <c r="G10" s="61" t="str">
        <f>IFERROR(__xludf.DUMMYFUNCTION("sparkline(
  F10 - choose(match(F10, {0, M10:P10}), 0, M10, N10, O10, P10),
  {
    ""charttype"", ""bar"";
    ""max"", choose(match(F10, {0, M10:P10}), M10, N10-M10, O10-N10, P10-O10, 0);
    ""nan"", ""ignore"";
    ""color1"", iferror(choose(match(F10"&amp;", {0, M10:P10}),
      ""#999999"",
      ""#ff9900"",
      ""#cbd9e6"",
      ""#cab148"",
      ""#e5d9b4""
    ))
  }
)
"),"")</f>
        <v/>
      </c>
      <c r="I10" s="62"/>
      <c r="J10" s="62"/>
      <c r="K10" s="62"/>
      <c r="L10" s="62"/>
      <c r="M10" s="70">
        <f>IFERROR(__xludf.DUMMYFUNCTION("""COMPUTED_VALUE"""),2400.0)</f>
        <v>2400</v>
      </c>
      <c r="N10" s="64">
        <f>IFERROR(__xludf.DUMMYFUNCTION("""COMPUTED_VALUE"""),2750.0)</f>
        <v>2750</v>
      </c>
      <c r="O10" s="65">
        <f>IFERROR(__xludf.DUMMYFUNCTION("""COMPUTED_VALUE"""),3125.0)</f>
        <v>3125</v>
      </c>
      <c r="P10" s="66">
        <f>IFERROR(__xludf.DUMMYFUNCTION("""COMPUTED_VALUE"""),3425.0)</f>
        <v>3425</v>
      </c>
    </row>
    <row r="11" ht="26.25" customHeight="1">
      <c r="B11" s="80" t="s">
        <v>38</v>
      </c>
      <c r="C11" s="81" t="str">
        <f>IFERROR(__xludf.DUMMYFUNCTION("""COMPUTED_VALUE""")," VT Aether Novice S5")</f>
        <v>VT Aether Novice S5</v>
      </c>
      <c r="D11" s="82"/>
      <c r="E11" s="60"/>
      <c r="F11" s="49"/>
      <c r="G11" s="61" t="str">
        <f>IFERROR(__xludf.DUMMYFUNCTION("sparkline(
  F11 - choose(match(F11, {0, M11:P11}), 0, M11, N11, O11, P11),
  {
    ""charttype"", ""bar"";
    ""max"", choose(match(F11, {0, M11:P11}), M11, N11-M11, O11-N11, P11-O11, 0);
    ""nan"", ""ignore"";
    ""color1"", iferror(choose(match(F11"&amp;", {0, M11:P11}),
      ""#999999"",
      ""#ff9900"",
      ""#cbd9e6"",
      ""#cab148"",
      ""#e5d9b4""
    ))
  }
)
"),"")</f>
        <v/>
      </c>
      <c r="H11" s="62">
        <f t="array" ref="H11">trunc(min(Intermediate!M$2, max(
choose(match(F11, {0, M11:P11}), 0, M$2, N$2, O$2, P$2)
 + (F11 - choose(match(F11, {0, M11:P11}), 0, M11, N11, O11, P11))
 / choose(match(F11, {0, M11:P11}), M11, N11-M11, O11-N11, P11-O11, P11-O11)
 * choose(match(F11, {0, M11:P11}), M$2, N$2-M$2, O$2-N$2, P$2-O$2, P$2-O$2),
choose(match(F12, {0, M12:P12}), 0, M$2, N$2, O$2, P$2)
 + (F12 - choose(match(F12, {0, M12:P12}), 0, M12, N12, O12, P12))
 / choose(match(F12, {0, M12:P12}), M12, N12-M12, O12-N12, P12-O12, P12-O12)
 * choose(match(F12, {0, M12:P12}), M$2, N$2-M$2, O$2-N$2, P$2-O$2, P$2-O$2)
)))</f>
        <v>0</v>
      </c>
      <c r="I11" s="62"/>
      <c r="J11" s="62"/>
      <c r="K11" s="62"/>
      <c r="L11" s="62"/>
      <c r="M11" s="70">
        <f>IFERROR(__xludf.DUMMYFUNCTION("""COMPUTED_VALUE"""),1525.0)</f>
        <v>1525</v>
      </c>
      <c r="N11" s="64">
        <f>IFERROR(__xludf.DUMMYFUNCTION("""COMPUTED_VALUE"""),1900.0)</f>
        <v>1900</v>
      </c>
      <c r="O11" s="65">
        <f>IFERROR(__xludf.DUMMYFUNCTION("""COMPUTED_VALUE"""),2250.0)</f>
        <v>2250</v>
      </c>
      <c r="P11" s="66">
        <f>IFERROR(__xludf.DUMMYFUNCTION("""COMPUTED_VALUE"""),2650.0)</f>
        <v>2650</v>
      </c>
    </row>
    <row r="12" ht="26.25" customHeight="1">
      <c r="C12" s="81" t="str">
        <f>IFERROR(__xludf.DUMMYFUNCTION("""COMPUTED_VALUE""")," VT Ground Novice S5")</f>
        <v>VT Ground Novice S5</v>
      </c>
      <c r="D12" s="82"/>
      <c r="E12" s="60"/>
      <c r="F12" s="49"/>
      <c r="G12" s="61" t="str">
        <f>IFERROR(__xludf.DUMMYFUNCTION("sparkline(
  F12 - choose(match(F12, {0, M12:P12}), 0, M12, N12, O12, P12),
  {
    ""charttype"", ""bar"";
    ""max"", choose(match(F12, {0, M12:P12}), M12, N12-M12, O12-N12, P12-O12, 0);
    ""nan"", ""ignore"";
    ""color1"", iferror(choose(match(F12"&amp;", {0, M12:P12}),
      ""#999999"",
      ""#ff9900"",
      ""#cbd9e6"",
      ""#cab148"",
      ""#e5d9b4""
    ))
  }
)
"),"")</f>
        <v/>
      </c>
      <c r="I12" s="62"/>
      <c r="J12" s="62"/>
      <c r="K12" s="62"/>
      <c r="L12" s="62"/>
      <c r="M12" s="70">
        <f>IFERROR(__xludf.DUMMYFUNCTION("""COMPUTED_VALUE"""),2100.0)</f>
        <v>2100</v>
      </c>
      <c r="N12" s="64">
        <f>IFERROR(__xludf.DUMMYFUNCTION("""COMPUTED_VALUE"""),2500.0)</f>
        <v>2500</v>
      </c>
      <c r="O12" s="65">
        <f>IFERROR(__xludf.DUMMYFUNCTION("""COMPUTED_VALUE"""),2825.0)</f>
        <v>2825</v>
      </c>
      <c r="P12" s="66">
        <f>IFERROR(__xludf.DUMMYFUNCTION("""COMPUTED_VALUE"""),3100.0)</f>
        <v>3100</v>
      </c>
    </row>
    <row r="13" ht="26.25" customHeight="1">
      <c r="B13" s="83" t="s">
        <v>39</v>
      </c>
      <c r="C13" s="84" t="str">
        <f>IFERROR(__xludf.DUMMYFUNCTION("""COMPUTED_VALUE""")," VT Raw Control Novice S5")</f>
        <v>VT Raw Control Novice S5</v>
      </c>
      <c r="D13" s="85"/>
      <c r="E13" s="60"/>
      <c r="F13" s="49"/>
      <c r="G13" s="61" t="str">
        <f>IFERROR(__xludf.DUMMYFUNCTION("sparkline(
  F13 - choose(match(F13, {0, M13:P13}), 0, M13, N13, O13, P13),
  {
    ""charttype"", ""bar"";
    ""max"", choose(match(F13, {0, M13:P13}), M13, N13-M13, O13-N13, P13-O13, 0);
    ""nan"", ""ignore"";
    ""color1"", iferror(choose(match(F13"&amp;", {0, M13:P13}),
      ""#999999"",
      ""#ff9900"",
      ""#cbd9e6"",
      ""#cab148"",
      ""#e5d9b4""
    ))
  }
)
"),"")</f>
        <v/>
      </c>
      <c r="H13" s="62">
        <f t="array" ref="H13">trunc(min(Intermediate!M$2, max(
choose(match(F13, {0, M13:P13}), 0, M$2, N$2, O$2, P$2)
 + (F13 - choose(match(F13, {0, M13:P13}), 0, M13, N13, O13, P13))
 / choose(match(F13, {0, M13:P13}), M13, N13-M13, O13-N13, P13-O13, P13-O13)
 * choose(match(F13, {0, M13:P13}), M$2, N$2-M$2, O$2-N$2, P$2-O$2, P$2-O$2),
choose(match(F14, {0, M14:P14}), 0, M$2, N$2, O$2, P$2)
 + (F14 - choose(match(F14, {0, M14:P14}), 0, M14, N14, O14, P14))
 / choose(match(F14, {0, M14:P14}), M14, N14-M14, O14-N14, P14-O14, P14-O14)
 * choose(match(F14, {0, M14:P14}), M$2, N$2-M$2, O$2-N$2, P$2-O$2, P$2-O$2)
)))</f>
        <v>0</v>
      </c>
      <c r="I13" s="62"/>
      <c r="J13" s="62"/>
      <c r="K13" s="62"/>
      <c r="L13" s="62"/>
      <c r="M13" s="70">
        <f>IFERROR(__xludf.DUMMYFUNCTION("""COMPUTED_VALUE"""),2125.0)</f>
        <v>2125</v>
      </c>
      <c r="N13" s="64">
        <f>IFERROR(__xludf.DUMMYFUNCTION("""COMPUTED_VALUE"""),2550.0)</f>
        <v>2550</v>
      </c>
      <c r="O13" s="65">
        <f>IFERROR(__xludf.DUMMYFUNCTION("""COMPUTED_VALUE"""),2975.0)</f>
        <v>2975</v>
      </c>
      <c r="P13" s="66">
        <f>IFERROR(__xludf.DUMMYFUNCTION("""COMPUTED_VALUE"""),3450.0)</f>
        <v>3450</v>
      </c>
    </row>
    <row r="14" ht="26.25" customHeight="1">
      <c r="C14" s="84" t="str">
        <f>IFERROR(__xludf.DUMMYFUNCTION("""COMPUTED_VALUE""")," VT Controlsphere Novice S5")</f>
        <v>VT Controlsphere Novice S5</v>
      </c>
      <c r="D14" s="85"/>
      <c r="E14" s="60"/>
      <c r="F14" s="49"/>
      <c r="G14" s="61" t="str">
        <f>IFERROR(__xludf.DUMMYFUNCTION("sparkline(
  F14 - choose(match(F14, {0, M14:P14}), 0, M14, N14, O14, P14),
  {
    ""charttype"", ""bar"";
    ""max"", choose(match(F14, {0, M14:P14}), M14, N14-M14, O14-N14, P14-O14, 0);
    ""nan"", ""ignore"";
    ""color1"", iferror(choose(match(F14"&amp;", {0, M14:P14}),
      ""#999999"",
      ""#ff9900"",
      ""#cbd9e6"",
      ""#cab148"",
      ""#e5d9b4""
    ))
  }
)
"),"")</f>
        <v/>
      </c>
      <c r="I14" s="62"/>
      <c r="J14" s="62"/>
      <c r="K14" s="62"/>
      <c r="L14" s="62"/>
      <c r="M14" s="70">
        <f>IFERROR(__xludf.DUMMYFUNCTION("""COMPUTED_VALUE"""),1575.0)</f>
        <v>1575</v>
      </c>
      <c r="N14" s="64">
        <f>IFERROR(__xludf.DUMMYFUNCTION("""COMPUTED_VALUE"""),1950.0)</f>
        <v>1950</v>
      </c>
      <c r="O14" s="65">
        <f>IFERROR(__xludf.DUMMYFUNCTION("""COMPUTED_VALUE"""),2400.0)</f>
        <v>2400</v>
      </c>
      <c r="P14" s="66">
        <f>IFERROR(__xludf.DUMMYFUNCTION("""COMPUTED_VALUE"""),2900.0)</f>
        <v>2900</v>
      </c>
    </row>
    <row r="15" ht="26.25" customHeight="1">
      <c r="A15" s="86" t="s">
        <v>40</v>
      </c>
      <c r="B15" s="87" t="s">
        <v>41</v>
      </c>
      <c r="C15" s="88" t="str">
        <f>IFERROR(__xludf.DUMMYFUNCTION("""COMPUTED_VALUE""")," VT DotTS Novice S5")</f>
        <v>VT DotTS Novice S5</v>
      </c>
      <c r="D15" s="89"/>
      <c r="E15" s="60"/>
      <c r="F15" s="49"/>
      <c r="G15" s="61" t="str">
        <f>IFERROR(__xludf.DUMMYFUNCTION("sparkline(
  F15 - choose(match(F15, {0, M15:P15}), 0, M15, N15, O15, P15),
  {
    ""charttype"", ""bar"";
    ""max"", choose(match(F15, {0, M15:P15}), M15, N15-M15, O15-N15, P15-O15, 0);
    ""nan"", ""ignore"";
    ""color1"", iferror(choose(match(F15"&amp;", {0, M15:P15}),
      ""#999999"",
      ""#ff9900"",
      ""#cbd9e6"",
      ""#cab148"",
      ""#e5d9b4""
    ))
  }
)
"),"")</f>
        <v/>
      </c>
      <c r="H15" s="62">
        <f t="array" ref="H15">trunc(min(Intermediate!M$2, max(
choose(match(F15, {0, M15:P15}), 0, M$2, N$2, O$2, P$2)
 + (F15 - choose(match(F15, {0, M15:P15}), 0, M15, N15, O15, P15))
 / choose(match(F15, {0, M15:P15}), M15, N15-M15, O15-N15, P15-O15, P15-O15)
 * choose(match(F15, {0, M15:P15}), M$2, N$2-M$2, O$2-N$2, P$2-O$2, P$2-O$2),
choose(match(F16, {0, M16:P16}), 0, M$2, N$2, O$2, P$2)
 + (F16 - choose(match(F16, {0, M16:P16}), 0, M16, N16, O16, P16))
 / choose(match(F16, {0, M16:P16}), M16, N16-M16, O16-N16, P16-O16, P16-O16)
 * choose(match(F16, {0, M16:P16}), M$2, N$2-M$2, O$2-N$2, P$2-O$2, P$2-O$2)
)))</f>
        <v>0</v>
      </c>
      <c r="I15" s="62"/>
      <c r="J15" s="62"/>
      <c r="K15" s="62"/>
      <c r="L15" s="62"/>
      <c r="M15" s="63">
        <f>IFERROR(__xludf.DUMMYFUNCTION("""COMPUTED_VALUE"""),845.0)</f>
        <v>845</v>
      </c>
      <c r="N15" s="90">
        <f>IFERROR(__xludf.DUMMYFUNCTION("""COMPUTED_VALUE"""),940.0)</f>
        <v>940</v>
      </c>
      <c r="O15" s="91">
        <f>IFERROR(__xludf.DUMMYFUNCTION("""COMPUTED_VALUE"""),1030.0)</f>
        <v>1030</v>
      </c>
      <c r="P15" s="92">
        <f>IFERROR(__xludf.DUMMYFUNCTION("""COMPUTED_VALUE"""),1090.0)</f>
        <v>1090</v>
      </c>
    </row>
    <row r="16" ht="26.25" customHeight="1">
      <c r="C16" s="88" t="str">
        <f>IFERROR(__xludf.DUMMYFUNCTION("""COMPUTED_VALUE""")," VT EddieTS Novice S5")</f>
        <v>VT EddieTS Novice S5</v>
      </c>
      <c r="D16" s="89"/>
      <c r="E16" s="60"/>
      <c r="F16" s="49"/>
      <c r="G16" s="61" t="str">
        <f>IFERROR(__xludf.DUMMYFUNCTION("sparkline(
  F16 - choose(match(F16, {0, M16:P16}), 0, M16, N16, O16, P16),
  {
    ""charttype"", ""bar"";
    ""max"", choose(match(F16, {0, M16:P16}), M16, N16-M16, O16-N16, P16-O16, 0);
    ""nan"", ""ignore"";
    ""color1"", iferror(choose(match(F16"&amp;", {0, M16:P16}),
      ""#999999"",
      ""#ff9900"",
      ""#cbd9e6"",
      ""#cab148"",
      ""#e5d9b4""
    ))
  }
)
"),"")</f>
        <v/>
      </c>
      <c r="I16" s="62"/>
      <c r="J16" s="62"/>
      <c r="K16" s="62"/>
      <c r="L16" s="62"/>
      <c r="M16" s="63">
        <f>IFERROR(__xludf.DUMMYFUNCTION("""COMPUTED_VALUE"""),640.0)</f>
        <v>640</v>
      </c>
      <c r="N16" s="90">
        <f>IFERROR(__xludf.DUMMYFUNCTION("""COMPUTED_VALUE"""),730.0)</f>
        <v>730</v>
      </c>
      <c r="O16" s="91">
        <f>IFERROR(__xludf.DUMMYFUNCTION("""COMPUTED_VALUE"""),810.0)</f>
        <v>810</v>
      </c>
      <c r="P16" s="92">
        <f>IFERROR(__xludf.DUMMYFUNCTION("""COMPUTED_VALUE"""),890.0)</f>
        <v>890</v>
      </c>
    </row>
    <row r="17" ht="26.25" customHeight="1">
      <c r="B17" s="93" t="s">
        <v>42</v>
      </c>
      <c r="C17" s="94" t="str">
        <f>IFERROR(__xludf.DUMMYFUNCTION("""COMPUTED_VALUE""")," VT DriftTS Novice S5")</f>
        <v>VT DriftTS Novice S5</v>
      </c>
      <c r="D17" s="95"/>
      <c r="E17" s="60"/>
      <c r="F17" s="49"/>
      <c r="G17" s="61" t="str">
        <f>IFERROR(__xludf.DUMMYFUNCTION("sparkline(
  F17 - choose(match(F17, {0, M17:P17}), 0, M17, N17, O17, P17),
  {
    ""charttype"", ""bar"";
    ""max"", choose(match(F17, {0, M17:P17}), M17, N17-M17, O17-N17, P17-O17, 0);
    ""nan"", ""ignore"";
    ""color1"", iferror(choose(match(F17"&amp;", {0, M17:P17}),
      ""#999999"",
      ""#ff9900"",
      ""#cbd9e6"",
      ""#cab148"",
      ""#e5d9b4""
    ))
  }
)
"),"")</f>
        <v/>
      </c>
      <c r="H17" s="62">
        <f t="array" ref="H17">trunc(min(Intermediate!M$2, max(
choose(match(F17, {0, M17:P17}), 0, M$2, N$2, O$2, P$2)
 + (F17 - choose(match(F17, {0, M17:P17}), 0, M17, N17, O17, P17))
 / choose(match(F17, {0, M17:P17}), M17, N17-M17, O17-N17, P17-O17, P17-O17)
 * choose(match(F17, {0, M17:P17}), M$2, N$2-M$2, O$2-N$2, P$2-O$2, P$2-O$2),
choose(match(F18, {0, M18:P18}), 0, M$2, N$2, O$2, P$2)
 + (F18 - choose(match(F18, {0, M18:P18}), 0, M18, N18, O18, P18))
 / choose(match(F18, {0, M18:P18}), M18, N18-M18, O18-N18, P18-O18, P18-O18)
 * choose(match(F18, {0, M18:P18}), M$2, N$2-M$2, O$2-N$2, P$2-O$2, P$2-O$2)
)))</f>
        <v>0</v>
      </c>
      <c r="I17" s="62"/>
      <c r="J17" s="62"/>
      <c r="K17" s="62"/>
      <c r="L17" s="62"/>
      <c r="M17" s="70">
        <f>IFERROR(__xludf.DUMMYFUNCTION("""COMPUTED_VALUE"""),315.0)</f>
        <v>315</v>
      </c>
      <c r="N17" s="90">
        <f>IFERROR(__xludf.DUMMYFUNCTION("""COMPUTED_VALUE"""),355.0)</f>
        <v>355</v>
      </c>
      <c r="O17" s="91">
        <f>IFERROR(__xludf.DUMMYFUNCTION("""COMPUTED_VALUE"""),390.0)</f>
        <v>390</v>
      </c>
      <c r="P17" s="92">
        <f>IFERROR(__xludf.DUMMYFUNCTION("""COMPUTED_VALUE"""),430.0)</f>
        <v>430</v>
      </c>
    </row>
    <row r="18" ht="26.25" customHeight="1">
      <c r="C18" s="94" t="str">
        <f>IFERROR(__xludf.DUMMYFUNCTION("""COMPUTED_VALUE""")," VT FlyTS Novice S5")</f>
        <v>VT FlyTS Novice S5</v>
      </c>
      <c r="D18" s="95"/>
      <c r="E18" s="60"/>
      <c r="F18" s="49"/>
      <c r="G18" s="61" t="str">
        <f>IFERROR(__xludf.DUMMYFUNCTION("sparkline(
  F18 - choose(match(F18, {0, M18:P18}), 0, M18, N18, O18, P18),
  {
    ""charttype"", ""bar"";
    ""max"", choose(match(F18, {0, M18:P18}), M18, N18-M18, O18-N18, P18-O18, 0);
    ""nan"", ""ignore"";
    ""color1"", iferror(choose(match(F18"&amp;", {0, M18:P18}),
      ""#999999"",
      ""#ff9900"",
      ""#cbd9e6"",
      ""#cab148"",
      ""#e5d9b4""
    ))
  }
)
"),"")</f>
        <v/>
      </c>
      <c r="I18" s="62"/>
      <c r="J18" s="62"/>
      <c r="K18" s="62"/>
      <c r="L18" s="62"/>
      <c r="M18" s="70">
        <f>IFERROR(__xludf.DUMMYFUNCTION("""COMPUTED_VALUE"""),420.0)</f>
        <v>420</v>
      </c>
      <c r="N18" s="90">
        <f>IFERROR(__xludf.DUMMYFUNCTION("""COMPUTED_VALUE"""),460.0)</f>
        <v>460</v>
      </c>
      <c r="O18" s="91">
        <f>IFERROR(__xludf.DUMMYFUNCTION("""COMPUTED_VALUE"""),500.0)</f>
        <v>500</v>
      </c>
      <c r="P18" s="92">
        <f>IFERROR(__xludf.DUMMYFUNCTION("""COMPUTED_VALUE"""),535.0)</f>
        <v>535</v>
      </c>
    </row>
    <row r="19" ht="26.25" customHeight="1">
      <c r="B19" s="96" t="s">
        <v>43</v>
      </c>
      <c r="C19" s="97" t="str">
        <f>IFERROR(__xludf.DUMMYFUNCTION("""COMPUTED_VALUE""")," VT ControlTS Novice S5")</f>
        <v>VT ControlTS Novice S5</v>
      </c>
      <c r="D19" s="98"/>
      <c r="E19" s="60"/>
      <c r="F19" s="49"/>
      <c r="G19" s="61" t="str">
        <f>IFERROR(__xludf.DUMMYFUNCTION("sparkline(
  F19 - choose(match(F19, {0, M19:P19}), 0, M19, N19, O19, P19),
  {
    ""charttype"", ""bar"";
    ""max"", choose(match(F19, {0, M19:P19}), M19, N19-M19, O19-N19, P19-O19, 0);
    ""nan"", ""ignore"";
    ""color1"", iferror(choose(match(F19"&amp;", {0, M19:P19}),
      ""#999999"",
      ""#ff9900"",
      ""#cbd9e6"",
      ""#cab148"",
      ""#e5d9b4""
    ))
  }
)
"),"")</f>
        <v/>
      </c>
      <c r="H19" s="62">
        <f t="array" ref="H19">trunc(min(Intermediate!M$2, max(
choose(match(F19, {0, M19:P19}), 0, M$2, N$2, O$2, P$2)
 + (F19 - choose(match(F19, {0, M19:P19}), 0, M19, N19, O19, P19))
 / choose(match(F19, {0, M19:P19}), M19, N19-M19, O19-N19, P19-O19, P19-O19)
 * choose(match(F19, {0, M19:P19}), M$2, N$2-M$2, O$2-N$2, P$2-O$2, P$2-O$2),
choose(match(F20, {0, M20:P20}), 0, M$2, N$2, O$2, P$2)
 + (F20 - choose(match(F20, {0, M20:P20}), 0, M20, N20, O20, P20))
 / choose(match(F20, {0, M20:P20}), M20, N20-M20, O20-N20, P20-O20, P20-O20)
 * choose(match(F20, {0, M20:P20}), M$2, N$2-M$2, O$2-N$2, P$2-O$2, P$2-O$2)
)))</f>
        <v>0</v>
      </c>
      <c r="I19" s="62"/>
      <c r="J19" s="62"/>
      <c r="K19" s="62"/>
      <c r="L19" s="62"/>
      <c r="M19" s="70">
        <f>IFERROR(__xludf.DUMMYFUNCTION("""COMPUTED_VALUE"""),340.0)</f>
        <v>340</v>
      </c>
      <c r="N19" s="90">
        <f>IFERROR(__xludf.DUMMYFUNCTION("""COMPUTED_VALUE"""),380.0)</f>
        <v>380</v>
      </c>
      <c r="O19" s="91">
        <f>IFERROR(__xludf.DUMMYFUNCTION("""COMPUTED_VALUE"""),420.0)</f>
        <v>420</v>
      </c>
      <c r="P19" s="92">
        <f>IFERROR(__xludf.DUMMYFUNCTION("""COMPUTED_VALUE"""),450.0)</f>
        <v>450</v>
      </c>
    </row>
    <row r="20" ht="26.25" customHeight="1">
      <c r="C20" s="97" t="str">
        <f>IFERROR(__xludf.DUMMYFUNCTION("""COMPUTED_VALUE""")," VT Penta Bounce Novice S5")</f>
        <v>VT Penta Bounce Novice S5</v>
      </c>
      <c r="D20" s="98"/>
      <c r="E20" s="60"/>
      <c r="F20" s="49"/>
      <c r="G20" s="61" t="str">
        <f>IFERROR(__xludf.DUMMYFUNCTION("sparkline(
  F20 - choose(match(F20, {0, M20:P20}), 0, M20, N20, O20, P20),
  {
    ""charttype"", ""bar"";
    ""max"", choose(match(F20, {0, M20:P20}), M20, N20-M20, O20-N20, P20-O20, 0);
    ""nan"", ""ignore"";
    ""color1"", iferror(choose(match(F20"&amp;", {0, M20:P20}),
      ""#999999"",
      ""#ff9900"",
      ""#cbd9e6"",
      ""#cab148"",
      ""#e5d9b4""
    ))
  }
)
"),"")</f>
        <v/>
      </c>
      <c r="I20" s="62"/>
      <c r="J20" s="62"/>
      <c r="K20" s="62"/>
      <c r="L20" s="62"/>
      <c r="M20" s="70">
        <f>IFERROR(__xludf.DUMMYFUNCTION("""COMPUTED_VALUE"""),290.0)</f>
        <v>290</v>
      </c>
      <c r="N20" s="90">
        <f>IFERROR(__xludf.DUMMYFUNCTION("""COMPUTED_VALUE"""),340.0)</f>
        <v>340</v>
      </c>
      <c r="O20" s="91">
        <f>IFERROR(__xludf.DUMMYFUNCTION("""COMPUTED_VALUE"""),390.0)</f>
        <v>390</v>
      </c>
      <c r="P20" s="92">
        <f>IFERROR(__xludf.DUMMYFUNCTION("""COMPUTED_VALUE"""),445.0)</f>
        <v>445</v>
      </c>
    </row>
    <row r="21" ht="26.25" customHeight="1">
      <c r="A21" s="99" t="s">
        <v>44</v>
      </c>
      <c r="G21" s="100" t="str">
        <f>IFERROR(__xludf.DUMMYFUNCTION("if(importrange(""https://docs.google.com/spreadsheets/d/1JxRnDKurkxZO94D2V46kmGWozPF7dbOpsMfWZL85LvU"", ""Changelog!A2:A2"")=indirect(""Changelog!A2""), concatenate(""Sheet Version: "", Changelog!A2), hyperlink(""https://docs.google.com/spreadsheets/d/1Jx"&amp;"RnDKurkxZO94D2V46kmGWozPF7dbOpsMfWZL85LvU"", ""Outdated version, click link &amp; make a new copy!""))"),"Sheet Version: 1.0.7")</f>
        <v>Sheet Version: 1.0.7</v>
      </c>
      <c r="N21" s="101" t="str">
        <f>HYPERLINK("https://voltaic.gg/", "Website↗")</f>
        <v>Website↗</v>
      </c>
      <c r="O21" s="101" t="str">
        <f>HYPERLINK("http://discord.gg/voltaic","Discord↗")</f>
        <v>Discord↗</v>
      </c>
      <c r="P21" s="101" t="str">
        <f>HYPERLINK("http://twitter.com/voltaichq","Twitter↗")</f>
        <v>Twitter↗</v>
      </c>
    </row>
    <row r="22" ht="26.25" customHeight="1">
      <c r="A22" s="102" t="s">
        <v>45</v>
      </c>
    </row>
    <row r="23" ht="26.25" customHeight="1">
      <c r="A23" s="103" t="s">
        <v>46</v>
      </c>
      <c r="N23" s="101" t="str">
        <f>HYPERLINK("https://www.youtube.com/voltaichq","YouTube↗")</f>
        <v>YouTube↗</v>
      </c>
      <c r="O23" s="101" t="str">
        <f>HYPERLINK("https://bit.ly/VTxKvKsGuide","Guide↗")</f>
        <v>Guide↗</v>
      </c>
      <c r="P23" s="101" t="str">
        <f>HYPERLINK("https://docs.google.com/document/d/1omExq_y4ld9vkvbTFkLdjlT5UwQpvYSgyk5PgA7nrzM/edit?usp=sharing","Rules↗")</f>
        <v>Rules↗</v>
      </c>
    </row>
    <row r="24" ht="26.25" customHeight="1"/>
  </sheetData>
  <mergeCells count="33">
    <mergeCell ref="H5:H6"/>
    <mergeCell ref="H7:H8"/>
    <mergeCell ref="H11:H12"/>
    <mergeCell ref="H13:H14"/>
    <mergeCell ref="H15:H16"/>
    <mergeCell ref="H17:H18"/>
    <mergeCell ref="H19:H20"/>
    <mergeCell ref="B7:B8"/>
    <mergeCell ref="B9:B10"/>
    <mergeCell ref="A1:C1"/>
    <mergeCell ref="E1:G1"/>
    <mergeCell ref="A3:A8"/>
    <mergeCell ref="B3:B4"/>
    <mergeCell ref="H3:H4"/>
    <mergeCell ref="B5:B6"/>
    <mergeCell ref="H9:H10"/>
    <mergeCell ref="A9:A14"/>
    <mergeCell ref="B11:B12"/>
    <mergeCell ref="B13:B14"/>
    <mergeCell ref="A15:A20"/>
    <mergeCell ref="B15:B16"/>
    <mergeCell ref="B17:B18"/>
    <mergeCell ref="B19:B20"/>
    <mergeCell ref="N23:N24"/>
    <mergeCell ref="O23:O24"/>
    <mergeCell ref="A21:F21"/>
    <mergeCell ref="G21:M22"/>
    <mergeCell ref="N21:N22"/>
    <mergeCell ref="O21:O22"/>
    <mergeCell ref="P21:P22"/>
    <mergeCell ref="A22:F22"/>
    <mergeCell ref="A23:M24"/>
    <mergeCell ref="P23:P24"/>
  </mergeCells>
  <conditionalFormatting sqref="E3:E20">
    <cfRule type="expression" dxfId="1" priority="1">
      <formula>ARRAYFORMULA(F3:F18&gt;=$P3:P18)</formula>
    </cfRule>
  </conditionalFormatting>
  <conditionalFormatting sqref="E3:E20">
    <cfRule type="expression" dxfId="2" priority="2">
      <formula>ARRAYFORMULA(F3:F18&gt;=$O3:O18)</formula>
    </cfRule>
  </conditionalFormatting>
  <conditionalFormatting sqref="E3:E20">
    <cfRule type="expression" dxfId="3" priority="3">
      <formula>ARRAYFORMULA(F3:F18&gt;=$N3:N18)</formula>
    </cfRule>
  </conditionalFormatting>
  <conditionalFormatting sqref="E3:E20">
    <cfRule type="expression" dxfId="4" priority="4">
      <formula>ARRAYFORMULA(F3:F18&gt;=$M3:M18)</formula>
    </cfRule>
  </conditionalFormatting>
  <conditionalFormatting sqref="E1">
    <cfRule type="beginsWith" dxfId="5" priority="5" operator="beginsWith" text="Gold">
      <formula>LEFT((E1),LEN("Gold"))=("Gold")</formula>
    </cfRule>
  </conditionalFormatting>
  <conditionalFormatting sqref="E1">
    <cfRule type="beginsWith" dxfId="2" priority="6" operator="beginsWith" text="Silver">
      <formula>LEFT((E1),LEN("Silver"))=("Silver")</formula>
    </cfRule>
  </conditionalFormatting>
  <conditionalFormatting sqref="E1">
    <cfRule type="beginsWith" dxfId="3" priority="7" operator="beginsWith" text="Bronze">
      <formula>LEFT((E1),LEN("Bronze"))=("Bronze")</formula>
    </cfRule>
  </conditionalFormatting>
  <conditionalFormatting sqref="E1">
    <cfRule type="beginsWith" dxfId="4" priority="8" operator="beginsWith" text="Iron">
      <formula>LEFT((E1),LEN("Iron"))=("Iron")</formula>
    </cfRule>
  </conditionalFormatting>
  <conditionalFormatting sqref="E1">
    <cfRule type="beginsWith" dxfId="6" priority="9" operator="beginsWith" text="Unranked">
      <formula>LEFT((E1),LEN("Unranked"))=("Unranked")</formula>
    </cfRule>
  </conditionalFormatting>
  <conditionalFormatting sqref="H3:L20">
    <cfRule type="expression" dxfId="7" priority="10">
      <formula>ARRAYFORMULA(H3:H18&gt;=$P$2)</formula>
    </cfRule>
  </conditionalFormatting>
  <conditionalFormatting sqref="H3:L20">
    <cfRule type="expression" dxfId="8" priority="11">
      <formula>ARRAYFORMULA(H3:H18&gt;=$O$2)</formula>
    </cfRule>
  </conditionalFormatting>
  <conditionalFormatting sqref="H3:L20">
    <cfRule type="expression" dxfId="9" priority="12">
      <formula>ARRAYFORMULA(H3:H18&gt;=$N$2)</formula>
    </cfRule>
  </conditionalFormatting>
  <conditionalFormatting sqref="H3:L20">
    <cfRule type="expression" dxfId="10" priority="13">
      <formula>ARRAYFORMULA(H3:H18&gt;=$M$2)</formula>
    </cfRule>
  </conditionalFormatting>
  <conditionalFormatting sqref="F3:F20">
    <cfRule type="expression" dxfId="11" priority="14">
      <formula>ARRAYFORMULA(F3:F18&gt;=$P3:P18)</formula>
    </cfRule>
  </conditionalFormatting>
  <conditionalFormatting sqref="F3:F20">
    <cfRule type="expression" dxfId="12" priority="15">
      <formula>ARRAYFORMULA(F3:F18&gt;=$O3:O18)</formula>
    </cfRule>
  </conditionalFormatting>
  <conditionalFormatting sqref="F3:F20">
    <cfRule type="expression" dxfId="13" priority="16">
      <formula>ARRAYFORMULA(F3:F18&gt;=$N3:N18)</formula>
    </cfRule>
  </conditionalFormatting>
  <conditionalFormatting sqref="F3:F20">
    <cfRule type="expression" dxfId="14" priority="17">
      <formula>ARRAYFORMULA(F3:F18&gt;=$M3:M18)</formula>
    </cfRule>
  </conditionalFormatting>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A23"/>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2" width="5.0"/>
    <col customWidth="1" min="3" max="3" width="22.63"/>
    <col customWidth="1" hidden="1" min="4" max="4" width="7.13"/>
    <col customWidth="1" min="5" max="5" width="0.38"/>
    <col customWidth="1" min="6" max="7" width="9.5"/>
    <col customWidth="1" min="8" max="8" width="6.38"/>
    <col customWidth="1" hidden="1" min="9" max="9" width="3.38"/>
    <col customWidth="1" hidden="1" min="10" max="12" width="6.38"/>
    <col customWidth="1" min="13" max="16" width="11.0"/>
  </cols>
  <sheetData>
    <row r="1" ht="26.25" customHeight="1">
      <c r="A1" s="48" t="s">
        <v>47</v>
      </c>
      <c r="D1" s="48"/>
      <c r="E1" s="49" t="str">
        <f t="array" ref="E1">concatenate(choose(match(H2, {0, M2:P2}), "Unranked", M1, N1, O1, P1), if(and(F3:F20 &gt;= choose(match(H2, {0, M2:P2}), 1E+99, M3:M20, N3:N20, O3:O20, P3:P20)), " Complete", ""))</f>
        <v>Platinum</v>
      </c>
      <c r="H1" s="50" t="s">
        <v>28</v>
      </c>
      <c r="I1" s="50"/>
      <c r="L1" s="50"/>
      <c r="M1" s="23" t="str">
        <f>IFERROR(__xludf.DUMMYFUNCTION("importrange(""https://docs.google.com/spreadsheets/d/1JxRnDKurkxZO94D2V46kmGWozPF7dbOpsMfWZL85LvU"", ""Intermediate!M1:P20"")"),"Platinum")</f>
        <v>Platinum</v>
      </c>
      <c r="N1" s="24" t="str">
        <f>IFERROR(__xludf.DUMMYFUNCTION("""COMPUTED_VALUE"""),"Diamond")</f>
        <v>Diamond</v>
      </c>
      <c r="O1" s="25" t="str">
        <f>IFERROR(__xludf.DUMMYFUNCTION("""COMPUTED_VALUE"""),"Jade")</f>
        <v>Jade</v>
      </c>
      <c r="P1" s="26" t="str">
        <f>IFERROR(__xludf.DUMMYFUNCTION("""COMPUTED_VALUE"""),"Master")</f>
        <v>Master</v>
      </c>
    </row>
    <row r="2" ht="26.25" customHeight="1">
      <c r="A2" s="51"/>
      <c r="B2" s="52"/>
      <c r="C2" s="53" t="s">
        <v>29</v>
      </c>
      <c r="D2" s="53"/>
      <c r="E2" s="53"/>
      <c r="F2" s="53" t="s">
        <v>30</v>
      </c>
      <c r="G2" s="53" t="s">
        <v>31</v>
      </c>
      <c r="H2" s="54">
        <f>iferror(trunc(harmean(H3:H20)), 0)</f>
        <v>533</v>
      </c>
      <c r="I2" s="54"/>
      <c r="J2" s="54"/>
      <c r="K2" s="54"/>
      <c r="L2" s="54"/>
      <c r="M2" s="104">
        <f>IFERROR(__xludf.DUMMYFUNCTION("""COMPUTED_VALUE"""),500.0)</f>
        <v>500</v>
      </c>
      <c r="N2" s="105">
        <f>IFERROR(__xludf.DUMMYFUNCTION("""COMPUTED_VALUE"""),600.0)</f>
        <v>600</v>
      </c>
      <c r="O2" s="38">
        <f>IFERROR(__xludf.DUMMYFUNCTION("""COMPUTED_VALUE"""),700.0)</f>
        <v>700</v>
      </c>
      <c r="P2" s="39">
        <f>IFERROR(__xludf.DUMMYFUNCTION("""COMPUTED_VALUE"""),800.0)</f>
        <v>800</v>
      </c>
    </row>
    <row r="3" ht="26.25" customHeight="1">
      <c r="A3" s="56" t="s">
        <v>32</v>
      </c>
      <c r="B3" s="57" t="s">
        <v>33</v>
      </c>
      <c r="C3" s="58" t="str">
        <f>IFERROR(__xludf.DUMMYFUNCTION("importrange(""https://docs.google.com/spreadsheets/d/1JxRnDKurkxZO94D2V46kmGWozPF7dbOpsMfWZL85LvU"", ""Intermediate!C3:C20"")")," VT Pasu Intermediate S5")</f>
        <v>VT Pasu Intermediate S5</v>
      </c>
      <c r="D3" s="59"/>
      <c r="E3" s="49"/>
      <c r="F3" s="49">
        <v>724.0</v>
      </c>
      <c r="G3" s="61" t="str">
        <f>IFERROR(__xludf.DUMMYFUNCTION("sparkline(
  F3 - choose(match(F3, {0, M3:P3}), 0, M3, N3, O3, P3),
  {
    ""charttype"", ""bar"";
    ""max"", choose(match(F3, {0, M3:P3}), M3, N3-M3, O3-N3, P3-O3, 0);
    ""nan"", ""ignore"";
    ""color1"", iferror(choose(match(F3, {0, M3:P3}),
    "&amp;"  ""#2FCFC2"",
      ""#B9F2FF"",
      ""#85FA85"",
      ""#EC44CA"",
      ""#fbc2ea""
    ))
  }
)
"),"")</f>
        <v/>
      </c>
      <c r="H3" s="62">
        <f t="array" ref="H3">trunc(min(Advanced!M$2, max(
choose(match(F3, {0, M3-(N3-M3), M3:P3}), 0, Novice!P$2, M$2, N$2, O$2, P$2)
 + (F3 - choose(match(F3, {0, M3-(N3-M3), M3:P3}), 0, M3-(N3-M3), M3, N3, O3, P3))
 / choose(match(F3, {0, M3-(N3-M3), M3:P3}), M3-(N3-M3), N3-M3, N3-M3, O3-N3, P3-O3, P3-O3)
 * choose(match(F3, {0, M3-(N3-M3), M3:P3}), Novice!P$2, M$2-Novice!P$2, N$2-M$2, O$2-N$2, P$2-O$2, P$2-O$2),
choose(match(F4, {0, M4-(N4-M4), M4:P4}), 0, Novice!P$2, M$2, N$2, O$2, P$2)
 + (F4 - choose(match(F4, {0, M4-(N4-M4), M4:P4}), 0, M4-(N4-M4), M4, N4, O4, P4))
 / choose(match(F4, {0, M4-(N4-M4), M4:P4}), M4-(N4-M4), N4-M4, N4-M4, O4-N4, P4-O4, P4-O4)
 * choose(match(F4, {0, M4-(N4-M4), M4:P4}), Novice!P$2, M$2-Novice!P$2, N$2-M$2, O$2-N$2, P$2-O$2, P$2-O$2)
)))</f>
        <v>544</v>
      </c>
      <c r="I3" s="62"/>
      <c r="J3" s="62"/>
      <c r="K3" s="62"/>
      <c r="L3" s="62"/>
      <c r="M3" s="106">
        <f>IFERROR(__xludf.DUMMYFUNCTION("""COMPUTED_VALUE"""),770.0)</f>
        <v>770</v>
      </c>
      <c r="N3" s="107">
        <f>IFERROR(__xludf.DUMMYFUNCTION("""COMPUTED_VALUE"""),850.0)</f>
        <v>850</v>
      </c>
      <c r="O3" s="108">
        <f>IFERROR(__xludf.DUMMYFUNCTION("""COMPUTED_VALUE"""),930.0)</f>
        <v>930</v>
      </c>
      <c r="P3" s="109">
        <f>IFERROR(__xludf.DUMMYFUNCTION("""COMPUTED_VALUE"""),980.0)</f>
        <v>980</v>
      </c>
    </row>
    <row r="4" ht="26.25" customHeight="1">
      <c r="C4" s="58" t="str">
        <f>IFERROR(__xludf.DUMMYFUNCTION("""COMPUTED_VALUE""")," VT Popcorn Intermediate S5")</f>
        <v>VT Popcorn Intermediate S5</v>
      </c>
      <c r="D4" s="59"/>
      <c r="E4" s="110"/>
      <c r="F4" s="49">
        <v>640.0</v>
      </c>
      <c r="G4" s="61" t="str">
        <f>IFERROR(__xludf.DUMMYFUNCTION("sparkline(
  F4 - choose(match(F4, {0, M4:P4}), 0, M4, N4, O4, P4),
  {
    ""charttype"", ""bar"";
    ""max"", choose(match(F4, {0, M4:P4}), M4, N4-M4, O4-N4, P4-O4, 0);
    ""nan"", ""ignore"";
    ""color1"", iferror(choose(match(F4, {0, M4:P4}),
    "&amp;"  ""#2FCFC2"",
      ""#B9F2FF"",
      ""#85FA85"",
      ""#EC44CA"",
      ""#fbc2ea""
    ))
  }
)
"),"")</f>
        <v/>
      </c>
      <c r="I4" s="62"/>
      <c r="J4" s="62"/>
      <c r="K4" s="62"/>
      <c r="L4" s="62"/>
      <c r="M4" s="106">
        <f>IFERROR(__xludf.DUMMYFUNCTION("""COMPUTED_VALUE"""),600.0)</f>
        <v>600</v>
      </c>
      <c r="N4" s="107">
        <f>IFERROR(__xludf.DUMMYFUNCTION("""COMPUTED_VALUE"""),690.0)</f>
        <v>690</v>
      </c>
      <c r="O4" s="108">
        <f>IFERROR(__xludf.DUMMYFUNCTION("""COMPUTED_VALUE"""),780.0)</f>
        <v>780</v>
      </c>
      <c r="P4" s="109">
        <f>IFERROR(__xludf.DUMMYFUNCTION("""COMPUTED_VALUE"""),860.0)</f>
        <v>860</v>
      </c>
    </row>
    <row r="5" ht="26.25" customHeight="1">
      <c r="B5" s="67" t="s">
        <v>34</v>
      </c>
      <c r="C5" s="68" t="str">
        <f>IFERROR(__xludf.DUMMYFUNCTION("""COMPUTED_VALUE""")," VT 1w3ts Intermediate S5")</f>
        <v>VT 1w3ts Intermediate S5</v>
      </c>
      <c r="D5" s="69"/>
      <c r="E5" s="110"/>
      <c r="F5" s="49">
        <v>962.0</v>
      </c>
      <c r="G5" s="61" t="str">
        <f>IFERROR(__xludf.DUMMYFUNCTION("sparkline(
  F5 - choose(match(F5, {0, M5:P5}), 0, M5, N5, O5, P5),
  {
    ""charttype"", ""bar"";
    ""max"", choose(match(F5, {0, M5:P5}), M5, N5-M5, O5-N5, P5-O5, 0);
    ""nan"", ""ignore"";
    ""color1"", iferror(choose(match(F5, {0, M5:P5}),
    "&amp;"  ""#2FCFC2"",
      ""#B9F2FF"",
      ""#85FA85"",
      ""#EC44CA"",
      ""#fbc2ea""
    ))
  }
)
"),"")</f>
        <v/>
      </c>
      <c r="H5" s="62">
        <f t="array" ref="H5">trunc(min(Advanced!M$2, max(
choose(match(F5, {0, M5-(N5-M5), M5:P5}), 0, Novice!P$2, M$2, N$2, O$2, P$2)
 + (F5 - choose(match(F5, {0, M5-(N5-M5), M5:P5}), 0, M5-(N5-M5), M5, N5, O5, P5))
 / choose(match(F5, {0, M5-(N5-M5), M5:P5}), M5-(N5-M5), N5-M5, N5-M5, O5-N5, P5-O5, P5-O5)
 * choose(match(F5, {0, M5-(N5-M5), M5:P5}), Novice!P$2, M$2-Novice!P$2, N$2-M$2, O$2-N$2, P$2-O$2, P$2-O$2),
choose(match(F6, {0, M6-(N6-M6), M6:P6}), 0, Novice!P$2, M$2, N$2, O$2, P$2)
 + (F6 - choose(match(F6, {0, M6-(N6-M6), M6:P6}), 0, M6-(N6-M6), M6, N6, O6, P6))
 / choose(match(F6, {0, M6-(N6-M6), M6:P6}), M6-(N6-M6), N6-M6, N6-M6, O6-N6, P6-O6, P6-O6)
 * choose(match(F6, {0, M6-(N6-M6), M6:P6}), Novice!P$2, M$2-Novice!P$2, N$2-M$2, O$2-N$2, P$2-O$2, P$2-O$2)
)))</f>
        <v>377</v>
      </c>
      <c r="I5" s="62"/>
      <c r="J5" s="62"/>
      <c r="K5" s="62"/>
      <c r="L5" s="62"/>
      <c r="M5" s="106">
        <f>IFERROR(__xludf.DUMMYFUNCTION("""COMPUTED_VALUE"""),1120.0)</f>
        <v>1120</v>
      </c>
      <c r="N5" s="107">
        <f>IFERROR(__xludf.DUMMYFUNCTION("""COMPUTED_VALUE"""),1220.0)</f>
        <v>1220</v>
      </c>
      <c r="O5" s="108">
        <f>IFERROR(__xludf.DUMMYFUNCTION("""COMPUTED_VALUE"""),1300.0)</f>
        <v>1300</v>
      </c>
      <c r="P5" s="109">
        <f>IFERROR(__xludf.DUMMYFUNCTION("""COMPUTED_VALUE"""),1380.0)</f>
        <v>1380</v>
      </c>
    </row>
    <row r="6" ht="26.25" customHeight="1">
      <c r="C6" s="71" t="str">
        <f>IFERROR(__xludf.DUMMYFUNCTION("""COMPUTED_VALUE""")," VT ww5t Intermediate S5")</f>
        <v>VT ww5t Intermediate S5</v>
      </c>
      <c r="D6" s="72"/>
      <c r="E6" s="110"/>
      <c r="F6" s="49">
        <v>1140.0</v>
      </c>
      <c r="G6" s="61" t="str">
        <f>IFERROR(__xludf.DUMMYFUNCTION("sparkline(
  F6 - choose(match(F6, {0, M6:P6}), 0, M6, N6, O6, P6),
  {
    ""charttype"", ""bar"";
    ""max"", choose(match(F6, {0, M6:P6}), M6, N6-M6, O6-N6, P6-O6, 0);
    ""nan"", ""ignore"";
    ""color1"", iferror(choose(match(F6, {0, M6:P6}),
    "&amp;"  ""#2FCFC2"",
      ""#B9F2FF"",
      ""#85FA85"",
      ""#EC44CA"",
      ""#fbc2ea""
    ))
  }
)
"),"")</f>
        <v/>
      </c>
      <c r="I6" s="62"/>
      <c r="J6" s="62"/>
      <c r="K6" s="62"/>
      <c r="L6" s="62"/>
      <c r="M6" s="106">
        <f>IFERROR(__xludf.DUMMYFUNCTION("""COMPUTED_VALUE"""),1310.0)</f>
        <v>1310</v>
      </c>
      <c r="N6" s="107">
        <f>IFERROR(__xludf.DUMMYFUNCTION("""COMPUTED_VALUE"""),1400.0)</f>
        <v>1400</v>
      </c>
      <c r="O6" s="108">
        <f>IFERROR(__xludf.DUMMYFUNCTION("""COMPUTED_VALUE"""),1490.0)</f>
        <v>1490</v>
      </c>
      <c r="P6" s="109">
        <f>IFERROR(__xludf.DUMMYFUNCTION("""COMPUTED_VALUE"""),1560.0)</f>
        <v>1560</v>
      </c>
    </row>
    <row r="7" ht="26.25" customHeight="1">
      <c r="B7" s="73" t="s">
        <v>35</v>
      </c>
      <c r="C7" s="74" t="str">
        <f>IFERROR(__xludf.DUMMYFUNCTION("""COMPUTED_VALUE""")," VT Frogtagon Intermediate S5")</f>
        <v>VT Frogtagon Intermediate S5</v>
      </c>
      <c r="D7" s="75"/>
      <c r="E7" s="110"/>
      <c r="F7" s="49">
        <v>960.0</v>
      </c>
      <c r="G7" s="61" t="str">
        <f>IFERROR(__xludf.DUMMYFUNCTION("sparkline(
  F7 - choose(match(F7, {0, M7:P7}), 0, M7, N7, O7, P7),
  {
    ""charttype"", ""bar"";
    ""max"", choose(match(F7, {0, M7:P7}), M7, N7-M7, O7-N7, P7-O7, 0);
    ""nan"", ""ignore"";
    ""color1"", iferror(choose(match(F7, {0, M7:P7}),
    "&amp;"  ""#2FCFC2"",
      ""#B9F2FF"",
      ""#85FA85"",
      ""#EC44CA"",
      ""#fbc2ea""
    ))
  }
)
"),"")</f>
        <v/>
      </c>
      <c r="H7" s="62">
        <f t="array" ref="H7">trunc(min(Advanced!M$2, max(
choose(match(F7, {0, M7-(N7-M7), M7:P7}), 0, Novice!P$2, M$2, N$2, O$2, P$2)
 + (F7 - choose(match(F7, {0, M7-(N7-M7), M7:P7}), 0, M7-(N7-M7), M7, N7, O7, P7))
 / choose(match(F7, {0, M7-(N7-M7), M7:P7}), M7-(N7-M7), N7-M7, N7-M7, O7-N7, P7-O7, P7-O7)
 * choose(match(F7, {0, M7-(N7-M7), M7:P7}), Novice!P$2, M$2-Novice!P$2, N$2-M$2, O$2-N$2, P$2-O$2, P$2-O$2),
choose(match(F8, {0, M8-(N8-M8), M8:P8}), 0, Novice!P$2, M$2, N$2, O$2, P$2)
 + (F8 - choose(match(F8, {0, M8-(N8-M8), M8:P8}), 0, M8-(N8-M8), M8, N8, O8, P8))
 / choose(match(F8, {0, M8-(N8-M8), M8:P8}), M8-(N8-M8), N8-M8, N8-M8, O8-N8, P8-O8, P8-O8)
 * choose(match(F8, {0, M8-(N8-M8), M8:P8}), Novice!P$2, M$2-Novice!P$2, N$2-M$2, O$2-N$2, P$2-O$2, P$2-O$2)
)))</f>
        <v>520</v>
      </c>
      <c r="I7" s="62"/>
      <c r="J7" s="62"/>
      <c r="K7" s="62"/>
      <c r="L7" s="62"/>
      <c r="M7" s="106">
        <f>IFERROR(__xludf.DUMMYFUNCTION("""COMPUTED_VALUE"""),940.0)</f>
        <v>940</v>
      </c>
      <c r="N7" s="107">
        <f>IFERROR(__xludf.DUMMYFUNCTION("""COMPUTED_VALUE"""),1040.0)</f>
        <v>1040</v>
      </c>
      <c r="O7" s="108">
        <f>IFERROR(__xludf.DUMMYFUNCTION("""COMPUTED_VALUE"""),1140.0)</f>
        <v>1140</v>
      </c>
      <c r="P7" s="109">
        <f>IFERROR(__xludf.DUMMYFUNCTION("""COMPUTED_VALUE"""),1230.0)</f>
        <v>1230</v>
      </c>
    </row>
    <row r="8" ht="26.25" customHeight="1">
      <c r="C8" s="74" t="str">
        <f>IFERROR(__xludf.DUMMYFUNCTION("""COMPUTED_VALUE""")," VT Floating Heads Intermediate S5")</f>
        <v>VT Floating Heads Intermediate S5</v>
      </c>
      <c r="D8" s="75"/>
      <c r="E8" s="110"/>
      <c r="F8" s="49">
        <v>615.0</v>
      </c>
      <c r="G8" s="61" t="str">
        <f>IFERROR(__xludf.DUMMYFUNCTION("sparkline(
  F8 - choose(match(F8, {0, M8:P8}), 0, M8, N8, O8, P8),
  {
    ""charttype"", ""bar"";
    ""max"", choose(match(F8, {0, M8:P8}), M8, N8-M8, O8-N8, P8-O8, 0);
    ""nan"", ""ignore"";
    ""color1"", iferror(choose(match(F8, {0, M8:P8}),
    "&amp;"  ""#2FCFC2"",
      ""#B9F2FF"",
      ""#85FA85"",
      ""#EC44CA"",
      ""#fbc2ea""
    ))
  }
)
"),"")</f>
        <v/>
      </c>
      <c r="I8" s="62"/>
      <c r="J8" s="62"/>
      <c r="K8" s="62"/>
      <c r="L8" s="62"/>
      <c r="M8" s="106">
        <f>IFERROR(__xludf.DUMMYFUNCTION("""COMPUTED_VALUE"""),610.0)</f>
        <v>610</v>
      </c>
      <c r="N8" s="107">
        <f>IFERROR(__xludf.DUMMYFUNCTION("""COMPUTED_VALUE"""),690.0)</f>
        <v>690</v>
      </c>
      <c r="O8" s="108">
        <f>IFERROR(__xludf.DUMMYFUNCTION("""COMPUTED_VALUE"""),770.0)</f>
        <v>770</v>
      </c>
      <c r="P8" s="109">
        <f>IFERROR(__xludf.DUMMYFUNCTION("""COMPUTED_VALUE"""),860.0)</f>
        <v>860</v>
      </c>
    </row>
    <row r="9" ht="26.25" customHeight="1">
      <c r="A9" s="76" t="s">
        <v>36</v>
      </c>
      <c r="B9" s="77" t="s">
        <v>37</v>
      </c>
      <c r="C9" s="78" t="str">
        <f>IFERROR(__xludf.DUMMYFUNCTION("""COMPUTED_VALUE""")," VT PGT Intermediate S5")</f>
        <v>VT PGT Intermediate S5</v>
      </c>
      <c r="D9" s="79"/>
      <c r="E9" s="110"/>
      <c r="F9" s="49">
        <v>2538.0</v>
      </c>
      <c r="G9" s="61" t="str">
        <f>IFERROR(__xludf.DUMMYFUNCTION("sparkline(
  F9 - choose(match(F9, {0, M9:P9}), 0, M9, N9, O9, P9),
  {
    ""charttype"", ""bar"";
    ""max"", choose(match(F9, {0, M9:P9}), M9, N9-M9, O9-N9, P9-O9, 0);
    ""nan"", ""ignore"";
    ""color1"", iferror(choose(match(F9, {0, M9:P9}),
    "&amp;"  ""#2FCFC2"",
      ""#B9F2FF"",
      ""#85FA85"",
      ""#EC44CA"",
      ""#fbc2ea""
    ))
  }
)
"),"")</f>
        <v/>
      </c>
      <c r="H9" s="62">
        <f t="array" ref="H9">trunc(min(Advanced!M$2, max(
choose(match(F9, {0, M9-(N9-M9), M9:P9}), 0, Novice!P$2, M$2, N$2, O$2, P$2)
 + (F9 - choose(match(F9, {0, M9-(N9-M9), M9:P9}), 0, M9-(N9-M9), M9, N9, O9, P9))
 / choose(match(F9, {0, M9-(N9-M9), M9:P9}), M9-(N9-M9), N9-M9, N9-M9, O9-N9, P9-O9, P9-O9)
 * choose(match(F9, {0, M9-(N9-M9), M9:P9}), Novice!P$2, M$2-Novice!P$2, N$2-M$2, O$2-N$2, P$2-O$2, P$2-O$2),
choose(match(F10, {0, M10-(N10-M10), M10:P10}), 0, Novice!P$2, M$2, N$2, O$2, P$2)
 + (F10 - choose(match(F10, {0, M10-(N10-M10), M10:P10}), 0, M10-(N10-M10), M10, N10, O10, P10))
 / choose(match(F10, {0, M10-(N10-M10), M10:P10}), M10-(N10-M10), N10-M10, N10-M10, O10-N10, P10-O10, P10-O10)
 * choose(match(F10, {0, M10-(N10-M10), M10:P10}), Novice!P$2, M$2-Novice!P$2, N$2-M$2, O$2-N$2, P$2-O$2, P$2-O$2)
)))</f>
        <v>578</v>
      </c>
      <c r="I9" s="62"/>
      <c r="J9" s="62"/>
      <c r="K9" s="62"/>
      <c r="L9" s="62"/>
      <c r="M9" s="106">
        <f>IFERROR(__xludf.DUMMYFUNCTION("""COMPUTED_VALUE"""),2275.0)</f>
        <v>2275</v>
      </c>
      <c r="N9" s="107">
        <f>IFERROR(__xludf.DUMMYFUNCTION("""COMPUTED_VALUE"""),2675.0)</f>
        <v>2675</v>
      </c>
      <c r="O9" s="108">
        <f>IFERROR(__xludf.DUMMYFUNCTION("""COMPUTED_VALUE"""),3050.0)</f>
        <v>3050</v>
      </c>
      <c r="P9" s="109">
        <f>IFERROR(__xludf.DUMMYFUNCTION("""COMPUTED_VALUE"""),3325.0)</f>
        <v>3325</v>
      </c>
    </row>
    <row r="10" ht="26.25" customHeight="1">
      <c r="C10" s="78" t="str">
        <f>IFERROR(__xludf.DUMMYFUNCTION("""COMPUTED_VALUE""")," VT Snake Track Intermediate S5")</f>
        <v>VT Snake Track Intermediate S5</v>
      </c>
      <c r="D10" s="79"/>
      <c r="E10" s="110"/>
      <c r="F10" s="49">
        <v>3096.0</v>
      </c>
      <c r="G10" s="61" t="str">
        <f>IFERROR(__xludf.DUMMYFUNCTION("sparkline(
  F10 - choose(match(F10, {0, M10:P10}), 0, M10, N10, O10, P10),
  {
    ""charttype"", ""bar"";
    ""max"", choose(match(F10, {0, M10:P10}), M10, N10-M10, O10-N10, P10-O10, 0);
    ""nan"", ""ignore"";
    ""color1"", iferror(choose(match(F10"&amp;", {0, M10:P10}),
      ""#2FCFC2"",
      ""#B9F2FF"",
      ""#85FA85"",
      ""#EC44CA"",
      ""#fbc2ea""
    ))
  }
)
"),"")</f>
        <v/>
      </c>
      <c r="I10" s="62"/>
      <c r="J10" s="62"/>
      <c r="K10" s="62"/>
      <c r="L10" s="62"/>
      <c r="M10" s="106">
        <f>IFERROR(__xludf.DUMMYFUNCTION("""COMPUTED_VALUE"""),2800.0)</f>
        <v>2800</v>
      </c>
      <c r="N10" s="107">
        <f>IFERROR(__xludf.DUMMYFUNCTION("""COMPUTED_VALUE"""),3175.0)</f>
        <v>3175</v>
      </c>
      <c r="O10" s="108">
        <f>IFERROR(__xludf.DUMMYFUNCTION("""COMPUTED_VALUE"""),3500.0)</f>
        <v>3500</v>
      </c>
      <c r="P10" s="109">
        <f>IFERROR(__xludf.DUMMYFUNCTION("""COMPUTED_VALUE"""),3750.0)</f>
        <v>3750</v>
      </c>
    </row>
    <row r="11" ht="26.25" customHeight="1">
      <c r="B11" s="80" t="s">
        <v>38</v>
      </c>
      <c r="C11" s="81" t="str">
        <f>IFERROR(__xludf.DUMMYFUNCTION("""COMPUTED_VALUE""")," VT Aether Intermediate S5")</f>
        <v>VT Aether Intermediate S5</v>
      </c>
      <c r="D11" s="82"/>
      <c r="E11" s="110"/>
      <c r="F11" s="49">
        <v>2465.0</v>
      </c>
      <c r="G11" s="61" t="str">
        <f>IFERROR(__xludf.DUMMYFUNCTION("sparkline(
  F11 - choose(match(F11, {0, M11:P11}), 0, M11, N11, O11, P11),
  {
    ""charttype"", ""bar"";
    ""max"", choose(match(F11, {0, M11:P11}), M11, N11-M11, O11-N11, P11-O11, 0);
    ""nan"", ""ignore"";
    ""color1"", iferror(choose(match(F11"&amp;", {0, M11:P11}),
      ""#2FCFC2"",
      ""#B9F2FF"",
      ""#85FA85"",
      ""#EC44CA"",
      ""#fbc2ea""
    ))
  }
)
"),"")</f>
        <v/>
      </c>
      <c r="H11" s="62">
        <f t="array" ref="H11">trunc(min(Advanced!M$2, max(
choose(match(F11, {0, M11-(N11-M11), M11:P11}), 0, Novice!P$2, M$2, N$2, O$2, P$2)
 + (F11 - choose(match(F11, {0, M11-(N11-M11), M11:P11}), 0, M11-(N11-M11), M11, N11, O11, P11))
 / choose(match(F11, {0, M11-(N11-M11), M11:P11}), M11-(N11-M11), N11-M11, N11-M11, O11-N11, P11-O11, P11-O11)
 * choose(match(F11, {0, M11-(N11-M11), M11:P11}), Novice!P$2, M$2-Novice!P$2, N$2-M$2, O$2-N$2, P$2-O$2, P$2-O$2),
choose(match(F12, {0, M12-(N12-M12), M12:P12}), 0, Novice!P$2, M$2, N$2, O$2, P$2)
 + (F12 - choose(match(F12, {0, M12-(N12-M12), M12:P12}), 0, M12-(N12-M12), M12, N12, O12, P12))
 / choose(match(F12, {0, M12-(N12-M12), M12:P12}), M12-(N12-M12), N12-M12, N12-M12, O12-N12, P12-O12, P12-O12)
 * choose(match(F12, {0, M12-(N12-M12), M12:P12}), Novice!P$2, M$2-Novice!P$2, N$2-M$2, O$2-N$2, P$2-O$2, P$2-O$2)
)))</f>
        <v>626</v>
      </c>
      <c r="I11" s="62"/>
      <c r="J11" s="62"/>
      <c r="K11" s="62"/>
      <c r="L11" s="62"/>
      <c r="M11" s="106">
        <f>IFERROR(__xludf.DUMMYFUNCTION("""COMPUTED_VALUE"""),2175.0)</f>
        <v>2175</v>
      </c>
      <c r="N11" s="107">
        <f>IFERROR(__xludf.DUMMYFUNCTION("""COMPUTED_VALUE"""),2550.0)</f>
        <v>2550</v>
      </c>
      <c r="O11" s="108">
        <f>IFERROR(__xludf.DUMMYFUNCTION("""COMPUTED_VALUE"""),2900.0)</f>
        <v>2900</v>
      </c>
      <c r="P11" s="109">
        <f>IFERROR(__xludf.DUMMYFUNCTION("""COMPUTED_VALUE"""),3175.0)</f>
        <v>3175</v>
      </c>
    </row>
    <row r="12" ht="26.25" customHeight="1">
      <c r="C12" s="81" t="str">
        <f>IFERROR(__xludf.DUMMYFUNCTION("""COMPUTED_VALUE""")," VT Ground Intermediate S5")</f>
        <v>VT Ground Intermediate S5</v>
      </c>
      <c r="D12" s="82"/>
      <c r="E12" s="110"/>
      <c r="F12" s="49">
        <v>2916.0</v>
      </c>
      <c r="G12" s="61" t="str">
        <f>IFERROR(__xludf.DUMMYFUNCTION("sparkline(
  F12 - choose(match(F12, {0, M12:P12}), 0, M12, N12, O12, P12),
  {
    ""charttype"", ""bar"";
    ""max"", choose(match(F12, {0, M12:P12}), M12, N12-M12, O12-N12, P12-O12, 0);
    ""nan"", ""ignore"";
    ""color1"", iferror(choose(match(F12"&amp;", {0, M12:P12}),
      ""#2FCFC2"",
      ""#B9F2FF"",
      ""#85FA85"",
      ""#EC44CA"",
      ""#fbc2ea""
    ))
  }
)
"),"")</f>
        <v/>
      </c>
      <c r="I12" s="62"/>
      <c r="J12" s="62"/>
      <c r="K12" s="62"/>
      <c r="L12" s="62"/>
      <c r="M12" s="106">
        <f>IFERROR(__xludf.DUMMYFUNCTION("""COMPUTED_VALUE"""),2550.0)</f>
        <v>2550</v>
      </c>
      <c r="N12" s="107">
        <f>IFERROR(__xludf.DUMMYFUNCTION("""COMPUTED_VALUE"""),2850.0)</f>
        <v>2850</v>
      </c>
      <c r="O12" s="108">
        <f>IFERROR(__xludf.DUMMYFUNCTION("""COMPUTED_VALUE"""),3100.0)</f>
        <v>3100</v>
      </c>
      <c r="P12" s="109">
        <f>IFERROR(__xludf.DUMMYFUNCTION("""COMPUTED_VALUE"""),3350.0)</f>
        <v>3350</v>
      </c>
    </row>
    <row r="13" ht="26.25" customHeight="1">
      <c r="B13" s="83" t="s">
        <v>39</v>
      </c>
      <c r="C13" s="84" t="str">
        <f>IFERROR(__xludf.DUMMYFUNCTION("""COMPUTED_VALUE""")," VT Raw Control Intermediate S5")</f>
        <v>VT Raw Control Intermediate S5</v>
      </c>
      <c r="D13" s="85"/>
      <c r="E13" s="110"/>
      <c r="F13" s="49">
        <v>2698.0</v>
      </c>
      <c r="G13" s="61" t="str">
        <f>IFERROR(__xludf.DUMMYFUNCTION("sparkline(
  F13 - choose(match(F13, {0, M13:P13}), 0, M13, N13, O13, P13),
  {
    ""charttype"", ""bar"";
    ""max"", choose(match(F13, {0, M13:P13}), M13, N13-M13, O13-N13, P13-O13, 0);
    ""nan"", ""ignore"";
    ""color1"", iferror(choose(match(F13"&amp;", {0, M13:P13}),
      ""#2FCFC2"",
      ""#B9F2FF"",
      ""#85FA85"",
      ""#EC44CA"",
      ""#fbc2ea""
    ))
  }
)
"),"")</f>
        <v/>
      </c>
      <c r="H13" s="62">
        <f t="array" ref="H13">trunc(min(Advanced!M$2, max(
choose(match(F13, {0, M13-(N13-M13), M13:P13}), 0, Novice!P$2, M$2, N$2, O$2, P$2)
 + (F13 - choose(match(F13, {0, M13-(N13-M13), M13:P13}), 0, M13-(N13-M13), M13, N13, O13, P13))
 / choose(match(F13, {0, M13-(N13-M13), M13:P13}), M13-(N13-M13), N13-M13, N13-M13, O13-N13, P13-O13, P13-O13)
 * choose(match(F13, {0, M13-(N13-M13), M13:P13}), Novice!P$2, M$2-Novice!P$2, N$2-M$2, O$2-N$2, P$2-O$2, P$2-O$2),
choose(match(F14, {0, M14-(N14-M14), M14:P14}), 0, Novice!P$2, M$2, N$2, O$2, P$2)
 + (F14 - choose(match(F14, {0, M14-(N14-M14), M14:P14}), 0, M14-(N14-M14), M14, N14, O14, P14))
 / choose(match(F14, {0, M14-(N14-M14), M14:P14}), M14-(N14-M14), N14-M14, N14-M14, O14-N14, P14-O14, P14-O14)
 * choose(match(F14, {0, M14-(N14-M14), M14:P14}), Novice!P$2, M$2-Novice!P$2, N$2-M$2, O$2-N$2, P$2-O$2, P$2-O$2)
)))</f>
        <v>481</v>
      </c>
      <c r="I13" s="62"/>
      <c r="J13" s="62"/>
      <c r="K13" s="62"/>
      <c r="L13" s="62"/>
      <c r="M13" s="106">
        <f>IFERROR(__xludf.DUMMYFUNCTION("""COMPUTED_VALUE"""),2775.0)</f>
        <v>2775</v>
      </c>
      <c r="N13" s="107">
        <f>IFERROR(__xludf.DUMMYFUNCTION("""COMPUTED_VALUE"""),3200.0)</f>
        <v>3200</v>
      </c>
      <c r="O13" s="108">
        <f>IFERROR(__xludf.DUMMYFUNCTION("""COMPUTED_VALUE"""),3550.0)</f>
        <v>3550</v>
      </c>
      <c r="P13" s="109">
        <f>IFERROR(__xludf.DUMMYFUNCTION("""COMPUTED_VALUE"""),3875.0)</f>
        <v>3875</v>
      </c>
    </row>
    <row r="14" ht="26.25" customHeight="1">
      <c r="C14" s="84" t="str">
        <f>IFERROR(__xludf.DUMMYFUNCTION("""COMPUTED_VALUE""")," VT Controlsphere Intermediate S5")</f>
        <v>VT Controlsphere Intermediate S5</v>
      </c>
      <c r="D14" s="85"/>
      <c r="E14" s="110"/>
      <c r="F14" s="49">
        <v>2614.0</v>
      </c>
      <c r="G14" s="61" t="str">
        <f>IFERROR(__xludf.DUMMYFUNCTION("sparkline(
  F14 - choose(match(F14, {0, M14:P14}), 0, M14, N14, O14, P14),
  {
    ""charttype"", ""bar"";
    ""max"", choose(match(F14, {0, M14:P14}), M14, N14-M14, O14-N14, P14-O14, 0);
    ""nan"", ""ignore"";
    ""color1"", iferror(choose(match(F14"&amp;", {0, M14:P14}),
      ""#2FCFC2"",
      ""#B9F2FF"",
      ""#85FA85"",
      ""#EC44CA"",
      ""#fbc2ea""
    ))
  }
)
"),"")</f>
        <v/>
      </c>
      <c r="I14" s="62"/>
      <c r="J14" s="62"/>
      <c r="K14" s="62"/>
      <c r="L14" s="62"/>
      <c r="M14" s="106">
        <f>IFERROR(__xludf.DUMMYFUNCTION("""COMPUTED_VALUE"""),2750.0)</f>
        <v>2750</v>
      </c>
      <c r="N14" s="107">
        <f>IFERROR(__xludf.DUMMYFUNCTION("""COMPUTED_VALUE"""),3175.0)</f>
        <v>3175</v>
      </c>
      <c r="O14" s="108">
        <f>IFERROR(__xludf.DUMMYFUNCTION("""COMPUTED_VALUE"""),3525.0)</f>
        <v>3525</v>
      </c>
      <c r="P14" s="109">
        <f>IFERROR(__xludf.DUMMYFUNCTION("""COMPUTED_VALUE"""),3825.0)</f>
        <v>3825</v>
      </c>
    </row>
    <row r="15" ht="26.25" customHeight="1">
      <c r="A15" s="86" t="s">
        <v>40</v>
      </c>
      <c r="B15" s="87" t="s">
        <v>41</v>
      </c>
      <c r="C15" s="88" t="str">
        <f>IFERROR(__xludf.DUMMYFUNCTION("""COMPUTED_VALUE""")," VT DotTS Intermediate S5")</f>
        <v>VT DotTS Intermediate S5</v>
      </c>
      <c r="D15" s="89"/>
      <c r="E15" s="110"/>
      <c r="F15" s="49">
        <v>1177.0</v>
      </c>
      <c r="G15" s="61" t="str">
        <f>IFERROR(__xludf.DUMMYFUNCTION("sparkline(
  F15 - choose(match(F15, {0, M15:P15}), 0, M15, N15, O15, P15),
  {
    ""charttype"", ""bar"";
    ""max"", choose(match(F15, {0, M15:P15}), M15, N15-M15, O15-N15, P15-O15, 0);
    ""nan"", ""ignore"";
    ""color1"", iferror(choose(match(F15"&amp;", {0, M15:P15}),
      ""#2FCFC2"",
      ""#B9F2FF"",
      ""#85FA85"",
      ""#EC44CA"",
      ""#fbc2ea""
    ))
  }
)
"),"")</f>
        <v/>
      </c>
      <c r="H15" s="62">
        <f t="array" ref="H15">trunc(min(Advanced!M$2, max(
choose(match(F15, {0, M15-(N15-M15), M15:P15}), 0, Novice!P$2, M$2, N$2, O$2, P$2)
 + (F15 - choose(match(F15, {0, M15-(N15-M15), M15:P15}), 0, M15-(N15-M15), M15, N15, O15, P15))
 / choose(match(F15, {0, M15-(N15-M15), M15:P15}), M15-(N15-M15), N15-M15, N15-M15, O15-N15, P15-O15, P15-O15)
 * choose(match(F15, {0, M15-(N15-M15), M15:P15}), Novice!P$2, M$2-Novice!P$2, N$2-M$2, O$2-N$2, P$2-O$2, P$2-O$2),
choose(match(F16, {0, M16-(N16-M16), M16:P16}), 0, Novice!P$2, M$2, N$2, O$2, P$2)
 + (F16 - choose(match(F16, {0, M16-(N16-M16), M16:P16}), 0, M16-(N16-M16), M16, N16, O16, P16))
 / choose(match(F16, {0, M16-(N16-M16), M16:P16}), M16-(N16-M16), N16-M16, N16-M16, O16-N16, P16-O16, P16-O16)
 * choose(match(F16, {0, M16-(N16-M16), M16:P16}), Novice!P$2, M$2-Novice!P$2, N$2-M$2, O$2-N$2, P$2-O$2, P$2-O$2)
)))</f>
        <v>595</v>
      </c>
      <c r="I15" s="62"/>
      <c r="J15" s="62"/>
      <c r="K15" s="62"/>
      <c r="L15" s="62"/>
      <c r="M15" s="111">
        <f>IFERROR(__xludf.DUMMYFUNCTION("""COMPUTED_VALUE"""),1110.0)</f>
        <v>1110</v>
      </c>
      <c r="N15" s="112">
        <f>IFERROR(__xludf.DUMMYFUNCTION("""COMPUTED_VALUE"""),1180.0)</f>
        <v>1180</v>
      </c>
      <c r="O15" s="113">
        <f>IFERROR(__xludf.DUMMYFUNCTION("""COMPUTED_VALUE"""),1230.0)</f>
        <v>1230</v>
      </c>
      <c r="P15" s="114">
        <f>IFERROR(__xludf.DUMMYFUNCTION("""COMPUTED_VALUE"""),1280.0)</f>
        <v>1280</v>
      </c>
    </row>
    <row r="16" ht="26.25" customHeight="1">
      <c r="C16" s="88" t="str">
        <f>IFERROR(__xludf.DUMMYFUNCTION("""COMPUTED_VALUE""")," VT EddieTS Intermediate S5")</f>
        <v>VT EddieTS Intermediate S5</v>
      </c>
      <c r="D16" s="89"/>
      <c r="E16" s="110"/>
      <c r="F16" s="49">
        <v>896.0</v>
      </c>
      <c r="G16" s="61" t="str">
        <f>IFERROR(__xludf.DUMMYFUNCTION("sparkline(
  F16 - choose(match(F16, {0, M16:P16}), 0, M16, N16, O16, P16),
  {
    ""charttype"", ""bar"";
    ""max"", choose(match(F16, {0, M16:P16}), M16, N16-M16, O16-N16, P16-O16, 0);
    ""nan"", ""ignore"";
    ""color1"", iferror(choose(match(F16"&amp;", {0, M16:P16}),
      ""#2FCFC2"",
      ""#B9F2FF"",
      ""#85FA85"",
      ""#EC44CA"",
      ""#fbc2ea""
    ))
  }
)
"),"")</f>
        <v/>
      </c>
      <c r="I16" s="62"/>
      <c r="J16" s="62"/>
      <c r="K16" s="62"/>
      <c r="L16" s="62"/>
      <c r="M16" s="111">
        <f>IFERROR(__xludf.DUMMYFUNCTION("""COMPUTED_VALUE"""),880.0)</f>
        <v>880</v>
      </c>
      <c r="N16" s="112">
        <f>IFERROR(__xludf.DUMMYFUNCTION("""COMPUTED_VALUE"""),950.0)</f>
        <v>950</v>
      </c>
      <c r="O16" s="113">
        <f>IFERROR(__xludf.DUMMYFUNCTION("""COMPUTED_VALUE"""),1020.0)</f>
        <v>1020</v>
      </c>
      <c r="P16" s="114">
        <f>IFERROR(__xludf.DUMMYFUNCTION("""COMPUTED_VALUE"""),1080.0)</f>
        <v>1080</v>
      </c>
    </row>
    <row r="17" ht="26.25" customHeight="1">
      <c r="B17" s="93" t="s">
        <v>42</v>
      </c>
      <c r="C17" s="94" t="str">
        <f>IFERROR(__xludf.DUMMYFUNCTION("""COMPUTED_VALUE""")," VT DriftTS Intermediate S5")</f>
        <v>VT DriftTS Intermediate S5</v>
      </c>
      <c r="D17" s="95"/>
      <c r="E17" s="110"/>
      <c r="F17" s="49">
        <v>380.0</v>
      </c>
      <c r="G17" s="61" t="str">
        <f>IFERROR(__xludf.DUMMYFUNCTION("sparkline(
  F17 - choose(match(F17, {0, M17:P17}), 0, M17, N17, O17, P17),
  {
    ""charttype"", ""bar"";
    ""max"", choose(match(F17, {0, M17:P17}), M17, N17-M17, O17-N17, P17-O17, 0);
    ""nan"", ""ignore"";
    ""color1"", iferror(choose(match(F17"&amp;", {0, M17:P17}),
      ""#2FCFC2"",
      ""#B9F2FF"",
      ""#85FA85"",
      ""#EC44CA"",
      ""#fbc2ea""
    ))
  }
)
"),"")</f>
        <v/>
      </c>
      <c r="H17" s="62">
        <f t="array" ref="H17">trunc(min(Advanced!M$2, max(
choose(match(F17, {0, M17-(N17-M17), M17:P17}), 0, Novice!P$2, M$2, N$2, O$2, P$2)
 + (F17 - choose(match(F17, {0, M17-(N17-M17), M17:P17}), 0, M17-(N17-M17), M17, N17, O17, P17))
 / choose(match(F17, {0, M17-(N17-M17), M17:P17}), M17-(N17-M17), N17-M17, N17-M17, O17-N17, P17-O17, P17-O17)
 * choose(match(F17, {0, M17-(N17-M17), M17:P17}), Novice!P$2, M$2-Novice!P$2, N$2-M$2, O$2-N$2, P$2-O$2, P$2-O$2),
choose(match(F18, {0, M18-(N18-M18), M18:P18}), 0, Novice!P$2, M$2, N$2, O$2, P$2)
 + (F18 - choose(match(F18, {0, M18-(N18-M18), M18:P18}), 0, M18-(N18-M18), M18, N18, O18, P18))
 / choose(match(F18, {0, M18-(N18-M18), M18:P18}), M18-(N18-M18), N18-M18, N18-M18, O18-N18, P18-O18, P18-O18)
 * choose(match(F18, {0, M18-(N18-M18), M18:P18}), Novice!P$2, M$2-Novice!P$2, N$2-M$2, O$2-N$2, P$2-O$2, P$2-O$2)
)))</f>
        <v>617</v>
      </c>
      <c r="I17" s="62"/>
      <c r="J17" s="62"/>
      <c r="K17" s="62"/>
      <c r="L17" s="62"/>
      <c r="M17" s="106">
        <f>IFERROR(__xludf.DUMMYFUNCTION("""COMPUTED_VALUE"""),390.0)</f>
        <v>390</v>
      </c>
      <c r="N17" s="112">
        <f>IFERROR(__xludf.DUMMYFUNCTION("""COMPUTED_VALUE"""),430.0)</f>
        <v>430</v>
      </c>
      <c r="O17" s="113">
        <f>IFERROR(__xludf.DUMMYFUNCTION("""COMPUTED_VALUE"""),460.0)</f>
        <v>460</v>
      </c>
      <c r="P17" s="114">
        <f>IFERROR(__xludf.DUMMYFUNCTION("""COMPUTED_VALUE"""),490.0)</f>
        <v>490</v>
      </c>
    </row>
    <row r="18" ht="26.25" customHeight="1">
      <c r="C18" s="94" t="str">
        <f>IFERROR(__xludf.DUMMYFUNCTION("""COMPUTED_VALUE""")," VT FlyTS Intermediate S5")</f>
        <v>VT FlyTS Intermediate S5</v>
      </c>
      <c r="D18" s="95"/>
      <c r="E18" s="110"/>
      <c r="F18" s="49">
        <v>577.0</v>
      </c>
      <c r="G18" s="61" t="str">
        <f>IFERROR(__xludf.DUMMYFUNCTION("sparkline(
  F18 - choose(match(F18, {0, M18:P18}), 0, M18, N18, O18, P18),
  {
    ""charttype"", ""bar"";
    ""max"", choose(match(F18, {0, M18:P18}), M18, N18-M18, O18-N18, P18-O18, 0);
    ""nan"", ""ignore"";
    ""color1"", iferror(choose(match(F18"&amp;", {0, M18:P18}),
      ""#2FCFC2"",
      ""#B9F2FF"",
      ""#85FA85"",
      ""#EC44CA"",
      ""#fbc2ea""
    ))
  }
)
"),"")</f>
        <v/>
      </c>
      <c r="I18" s="62"/>
      <c r="J18" s="62"/>
      <c r="K18" s="62"/>
      <c r="L18" s="62"/>
      <c r="M18" s="106">
        <f>IFERROR(__xludf.DUMMYFUNCTION("""COMPUTED_VALUE"""),520.0)</f>
        <v>520</v>
      </c>
      <c r="N18" s="112">
        <f>IFERROR(__xludf.DUMMYFUNCTION("""COMPUTED_VALUE"""),570.0)</f>
        <v>570</v>
      </c>
      <c r="O18" s="113">
        <f>IFERROR(__xludf.DUMMYFUNCTION("""COMPUTED_VALUE"""),610.0)</f>
        <v>610</v>
      </c>
      <c r="P18" s="114">
        <f>IFERROR(__xludf.DUMMYFUNCTION("""COMPUTED_VALUE"""),650.0)</f>
        <v>650</v>
      </c>
    </row>
    <row r="19" ht="26.25" customHeight="1">
      <c r="B19" s="96" t="s">
        <v>43</v>
      </c>
      <c r="C19" s="97" t="str">
        <f>IFERROR(__xludf.DUMMYFUNCTION("""COMPUTED_VALUE""")," VT ControlTS Intermediate S5")</f>
        <v>VT ControlTS Intermediate S5</v>
      </c>
      <c r="D19" s="98"/>
      <c r="E19" s="110"/>
      <c r="F19" s="49">
        <v>420.0</v>
      </c>
      <c r="G19" s="61" t="str">
        <f>IFERROR(__xludf.DUMMYFUNCTION("sparkline(
  F19 - choose(match(F19, {0, M19:P19}), 0, M19, N19, O19, P19),
  {
    ""charttype"", ""bar"";
    ""max"", choose(match(F19, {0, M19:P19}), M19, N19-M19, O19-N19, P19-O19, 0);
    ""nan"", ""ignore"";
    ""color1"", iferror(choose(match(F19"&amp;", {0, M19:P19}),
      ""#2FCFC2"",
      ""#B9F2FF"",
      ""#85FA85"",
      ""#EC44CA"",
      ""#fbc2ea""
    ))
  }
)
"),"")</f>
        <v/>
      </c>
      <c r="H19" s="62">
        <f t="array" ref="H19">trunc(min(Advanced!M$2, max(
choose(match(F19, {0, M19-(N19-M19), M19:P19}), 0, Novice!P$2, M$2, N$2, O$2, P$2)
 + (F19 - choose(match(F19, {0, M19-(N19-M19), M19:P19}), 0, M19-(N19-M19), M19, N19, O19, P19))
 / choose(match(F19, {0, M19-(N19-M19), M19:P19}), M19-(N19-M19), N19-M19, N19-M19, O19-N19, P19-O19, P19-O19)
 * choose(match(F19, {0, M19-(N19-M19), M19:P19}), Novice!P$2, M$2-Novice!P$2, N$2-M$2, O$2-N$2, P$2-O$2, P$2-O$2),
choose(match(F20, {0, M20-(N20-M20), M20:P20}), 0, Novice!P$2, M$2, N$2, O$2, P$2)
 + (F20 - choose(match(F20, {0, M20-(N20-M20), M20:P20}), 0, M20-(N20-M20), M20, N20, O20, P20))
 / choose(match(F20, {0, M20-(N20-M20), M20:P20}), M20-(N20-M20), N20-M20, N20-M20, O20-N20, P20-O20, P20-O20)
 * choose(match(F20, {0, M20-(N20-M20), M20:P20}), Novice!P$2, M$2-Novice!P$2, N$2-M$2, O$2-N$2, P$2-O$2, P$2-O$2)
)))</f>
        <v>575</v>
      </c>
      <c r="I19" s="62"/>
      <c r="J19" s="62"/>
      <c r="K19" s="62"/>
      <c r="L19" s="62"/>
      <c r="M19" s="106">
        <f>IFERROR(__xludf.DUMMYFUNCTION("""COMPUTED_VALUE"""),420.0)</f>
        <v>420</v>
      </c>
      <c r="N19" s="112">
        <f>IFERROR(__xludf.DUMMYFUNCTION("""COMPUTED_VALUE"""),460.0)</f>
        <v>460</v>
      </c>
      <c r="O19" s="113">
        <f>IFERROR(__xludf.DUMMYFUNCTION("""COMPUTED_VALUE"""),485.0)</f>
        <v>485</v>
      </c>
      <c r="P19" s="114">
        <f>IFERROR(__xludf.DUMMYFUNCTION("""COMPUTED_VALUE"""),520.0)</f>
        <v>520</v>
      </c>
    </row>
    <row r="20" ht="26.25" customHeight="1">
      <c r="C20" s="97" t="str">
        <f>IFERROR(__xludf.DUMMYFUNCTION("""COMPUTED_VALUE""")," VT Penta Bounce Intermediate S5")</f>
        <v>VT Penta Bounce Intermediate S5</v>
      </c>
      <c r="D20" s="98"/>
      <c r="E20" s="110"/>
      <c r="F20" s="49">
        <v>480.0</v>
      </c>
      <c r="G20" s="61" t="str">
        <f>IFERROR(__xludf.DUMMYFUNCTION("sparkline(
  F20 - choose(match(F20, {0, M20:P20}), 0, M20, N20, O20, P20),
  {
    ""charttype"", ""bar"";
    ""max"", choose(match(F20, {0, M20:P20}), M20, N20-M20, O20-N20, P20-O20, 0);
    ""nan"", ""ignore"";
    ""color1"", iferror(choose(match(F20"&amp;", {0, M20:P20}),
      ""#2FCFC2"",
      ""#B9F2FF"",
      ""#85FA85"",
      ""#EC44CA"",
      ""#fbc2ea""
    ))
  }
)
"),"")</f>
        <v/>
      </c>
      <c r="I20" s="62"/>
      <c r="J20" s="62"/>
      <c r="K20" s="62"/>
      <c r="L20" s="62"/>
      <c r="M20" s="106">
        <f>IFERROR(__xludf.DUMMYFUNCTION("""COMPUTED_VALUE"""),450.0)</f>
        <v>450</v>
      </c>
      <c r="N20" s="112">
        <f>IFERROR(__xludf.DUMMYFUNCTION("""COMPUTED_VALUE"""),490.0)</f>
        <v>490</v>
      </c>
      <c r="O20" s="113">
        <f>IFERROR(__xludf.DUMMYFUNCTION("""COMPUTED_VALUE"""),540.0)</f>
        <v>540</v>
      </c>
      <c r="P20" s="114">
        <f>IFERROR(__xludf.DUMMYFUNCTION("""COMPUTED_VALUE"""),580.0)</f>
        <v>580</v>
      </c>
    </row>
    <row r="21" ht="26.25" customHeight="1">
      <c r="A21" s="99" t="s">
        <v>44</v>
      </c>
      <c r="G21" s="115" t="str">
        <f>IFERROR(__xludf.DUMMYFUNCTION("if(importrange(""https://docs.google.com/spreadsheets/d/1JxRnDKurkxZO94D2V46kmGWozPF7dbOpsMfWZL85LvU"", ""Changelog!A2:A2"")=indirect(""Changelog!A2""), concatenate(""Sheet Version: "", Changelog!A2), hyperlink(""https://docs.google.com/spreadsheets/d/1Jx"&amp;"RnDKurkxZO94D2V46kmGWozPF7dbOpsMfWZL85LvU"", ""Outdated version, click link &amp; make a new copy!""))"),"Sheet Version: 1.0.7")</f>
        <v>Sheet Version: 1.0.7</v>
      </c>
      <c r="N21" s="101" t="str">
        <f>HYPERLINK("https://voltaic.gg/", "Website↗")</f>
        <v>Website↗</v>
      </c>
      <c r="O21" s="101" t="str">
        <f>HYPERLINK("http://discord.gg/voltaic","Discord↗")</f>
        <v>Discord↗</v>
      </c>
      <c r="P21" s="101" t="str">
        <f>HYPERLINK("http://twitter.com/voltaichq","Twitter↗")</f>
        <v>Twitter↗</v>
      </c>
    </row>
    <row r="22" ht="26.25" customHeight="1">
      <c r="A22" s="116" t="s">
        <v>48</v>
      </c>
    </row>
    <row r="23" ht="26.25" customHeight="1">
      <c r="A23" s="103" t="s">
        <v>49</v>
      </c>
      <c r="N23" s="101" t="str">
        <f>HYPERLINK("https://www.youtube.com/voltaichq","YouTube↗")</f>
        <v>YouTube↗</v>
      </c>
      <c r="O23" s="101" t="str">
        <f>HYPERLINK("https://bit.ly/VTxKvKsGuide","Guide↗")</f>
        <v>Guide↗</v>
      </c>
      <c r="P23" s="101" t="str">
        <f>HYPERLINK("https://docs.google.com/document/d/1omExq_y4ld9vkvbTFkLdjlT5UwQpvYSgyk5PgA7nrzM/edit?usp=sharing","Rules↗")</f>
        <v>Rules↗</v>
      </c>
    </row>
    <row r="24" ht="26.25" customHeight="1"/>
  </sheetData>
  <mergeCells count="34">
    <mergeCell ref="H7:H8"/>
    <mergeCell ref="H9:H10"/>
    <mergeCell ref="H11:H12"/>
    <mergeCell ref="H13:H14"/>
    <mergeCell ref="H15:H16"/>
    <mergeCell ref="H17:H18"/>
    <mergeCell ref="H19:H20"/>
    <mergeCell ref="A1:C1"/>
    <mergeCell ref="E1:G1"/>
    <mergeCell ref="I1:K1"/>
    <mergeCell ref="A3:A8"/>
    <mergeCell ref="B3:B4"/>
    <mergeCell ref="H3:H4"/>
    <mergeCell ref="H5:H6"/>
    <mergeCell ref="B5:B6"/>
    <mergeCell ref="B7:B8"/>
    <mergeCell ref="A9:A14"/>
    <mergeCell ref="B9:B10"/>
    <mergeCell ref="B11:B12"/>
    <mergeCell ref="B13:B14"/>
    <mergeCell ref="A15:A20"/>
    <mergeCell ref="B19:B20"/>
    <mergeCell ref="A22:F22"/>
    <mergeCell ref="A23:M24"/>
    <mergeCell ref="N23:N24"/>
    <mergeCell ref="O23:O24"/>
    <mergeCell ref="P23:P24"/>
    <mergeCell ref="B15:B16"/>
    <mergeCell ref="B17:B18"/>
    <mergeCell ref="A21:F21"/>
    <mergeCell ref="G21:M22"/>
    <mergeCell ref="N21:N22"/>
    <mergeCell ref="O21:O22"/>
    <mergeCell ref="P21:P22"/>
  </mergeCells>
  <conditionalFormatting sqref="E3:E20">
    <cfRule type="expression" dxfId="15" priority="1">
      <formula>ARRAYFORMULA(F3:F18&gt;=$P3:P18)</formula>
    </cfRule>
  </conditionalFormatting>
  <conditionalFormatting sqref="E3:E20">
    <cfRule type="expression" dxfId="16" priority="2">
      <formula>ARRAYFORMULA(F3:F18&gt;=$O3:O18)</formula>
    </cfRule>
  </conditionalFormatting>
  <conditionalFormatting sqref="E3:E20">
    <cfRule type="expression" dxfId="17" priority="3">
      <formula>ARRAYFORMULA(F3:F18&gt;=$N3:N18)</formula>
    </cfRule>
  </conditionalFormatting>
  <conditionalFormatting sqref="E3:E20">
    <cfRule type="expression" dxfId="18" priority="4">
      <formula>ARRAYFORMULA(F3:F18&gt;=$M3:M18)</formula>
    </cfRule>
  </conditionalFormatting>
  <conditionalFormatting sqref="E1">
    <cfRule type="beginsWith" dxfId="19" priority="5" operator="beginsWith" text="Master">
      <formula>LEFT((E1),LEN("Master"))=("Master")</formula>
    </cfRule>
  </conditionalFormatting>
  <conditionalFormatting sqref="E1">
    <cfRule type="beginsWith" dxfId="16" priority="6" operator="beginsWith" text="Jade">
      <formula>LEFT((E1),LEN("Jade"))=("Jade")</formula>
    </cfRule>
  </conditionalFormatting>
  <conditionalFormatting sqref="E1">
    <cfRule type="beginsWith" dxfId="17" priority="7" operator="beginsWith" text="Diamond">
      <formula>LEFT((E1),LEN("Diamond"))=("Diamond")</formula>
    </cfRule>
  </conditionalFormatting>
  <conditionalFormatting sqref="E1">
    <cfRule type="beginsWith" dxfId="20" priority="8" operator="beginsWith" text="Platinum">
      <formula>LEFT((E1),LEN("Platinum"))=("Platinum")</formula>
    </cfRule>
  </conditionalFormatting>
  <conditionalFormatting sqref="E1">
    <cfRule type="beginsWith" dxfId="6" priority="9" operator="beginsWith" text="Unranked">
      <formula>LEFT((E1),LEN("Unranked"))=("Unranked")</formula>
    </cfRule>
  </conditionalFormatting>
  <conditionalFormatting sqref="H3:L20">
    <cfRule type="expression" dxfId="21" priority="10">
      <formula>ARRAYFORMULA(H3:H18&gt;=$P$2)</formula>
    </cfRule>
  </conditionalFormatting>
  <conditionalFormatting sqref="H3:L20">
    <cfRule type="expression" dxfId="22" priority="11">
      <formula>ARRAYFORMULA(H3:H18&gt;=$O$2)</formula>
    </cfRule>
  </conditionalFormatting>
  <conditionalFormatting sqref="H3:L20">
    <cfRule type="expression" dxfId="23" priority="12">
      <formula>ARRAYFORMULA(H3:H18&gt;=$N$2)</formula>
    </cfRule>
  </conditionalFormatting>
  <conditionalFormatting sqref="H3:L20">
    <cfRule type="expression" dxfId="24" priority="13">
      <formula>ARRAYFORMULA(H3:H18&gt;=$M$2)</formula>
    </cfRule>
  </conditionalFormatting>
  <conditionalFormatting sqref="F3:F20">
    <cfRule type="expression" dxfId="25" priority="14">
      <formula>ARRAYFORMULA(F3:F18&gt;=$P3:P18)</formula>
    </cfRule>
  </conditionalFormatting>
  <conditionalFormatting sqref="F3:F20">
    <cfRule type="expression" dxfId="26" priority="15">
      <formula>ARRAYFORMULA(F3:F18&gt;=$O3:O18)</formula>
    </cfRule>
  </conditionalFormatting>
  <conditionalFormatting sqref="F3:F20">
    <cfRule type="expression" dxfId="27" priority="16">
      <formula>ARRAYFORMULA(F3:F18&gt;=$N3:N18)</formula>
    </cfRule>
  </conditionalFormatting>
  <conditionalFormatting sqref="F3:F20">
    <cfRule type="expression" dxfId="28" priority="17">
      <formula>ARRAYFORMULA(F3:F18&gt;=$M3:M18)</formula>
    </cfRule>
  </conditionalFormatting>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A23"/>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596F"/>
    <outlinePr summaryBelow="0" summaryRight="0"/>
  </sheetPr>
  <sheetViews>
    <sheetView workbookViewId="0"/>
  </sheetViews>
  <sheetFormatPr customHeight="1" defaultColWidth="12.63" defaultRowHeight="15.75"/>
  <cols>
    <col customWidth="1" min="1" max="2" width="5.0"/>
    <col customWidth="1" min="3" max="3" width="22.63"/>
    <col customWidth="1" hidden="1" min="4" max="4" width="15.88"/>
    <col customWidth="1" min="5" max="5" width="0.38"/>
    <col customWidth="1" min="6" max="7" width="9.5"/>
    <col customWidth="1" min="8" max="8" width="6.38"/>
    <col customWidth="1" hidden="1" min="9" max="9" width="0.5"/>
    <col customWidth="1" hidden="1" min="10" max="12" width="6.38"/>
    <col customWidth="1" min="13" max="16" width="11.0"/>
  </cols>
  <sheetData>
    <row r="1" ht="26.25" customHeight="1">
      <c r="A1" s="48" t="s">
        <v>50</v>
      </c>
      <c r="D1" s="48"/>
      <c r="E1" s="49" t="str">
        <f t="array" ref="E1">concatenate(choose(match(H2, {0, M2:P2}), "Unranked", M1, N1, O1, P1), if(and(F3:F20 &gt;= choose(match(H2, {0, M2:P2}), 1E+99, M3:M20, N3:N20, O3:O20, P3:P20)), " Complete", ""))</f>
        <v>Unranked</v>
      </c>
      <c r="H1" s="50" t="s">
        <v>28</v>
      </c>
      <c r="I1" s="117" t="str">
        <f t="array" ref="I1">concatenate(choose(match(M2, {0, N2:Q2}), "Unranked", N1, O1, P1, Q1), if(and(J3:J18 &gt;= choose(match(H2, {0, N2:Q2}), 1E+99, N3:N18, O3:O18, P3:P18, Q3:Q18)), " Complete", ""))</f>
        <v>Unranked</v>
      </c>
      <c r="L1" s="117"/>
      <c r="M1" s="27" t="str">
        <f>IFERROR(__xludf.DUMMYFUNCTION("importrange(""https://docs.google.com/spreadsheets/d/1JxRnDKurkxZO94D2V46kmGWozPF7dbOpsMfWZL85LvU"", ""Advanced!M1:P20"")"),"Grandmaster")</f>
        <v>Grandmaster</v>
      </c>
      <c r="N1" s="28" t="str">
        <f>IFERROR(__xludf.DUMMYFUNCTION("""COMPUTED_VALUE"""),"Nova")</f>
        <v>Nova</v>
      </c>
      <c r="O1" s="29" t="str">
        <f>IFERROR(__xludf.DUMMYFUNCTION("""COMPUTED_VALUE"""),"Astra")</f>
        <v>Astra</v>
      </c>
      <c r="P1" s="30" t="str">
        <f>IFERROR(__xludf.DUMMYFUNCTION("""COMPUTED_VALUE"""),"Celestial")</f>
        <v>Celestial</v>
      </c>
    </row>
    <row r="2" ht="26.25" customHeight="1">
      <c r="A2" s="51"/>
      <c r="B2" s="52"/>
      <c r="C2" s="53" t="s">
        <v>29</v>
      </c>
      <c r="D2" s="53"/>
      <c r="E2" s="53"/>
      <c r="F2" s="53" t="s">
        <v>30</v>
      </c>
      <c r="G2" s="53" t="s">
        <v>31</v>
      </c>
      <c r="H2" s="54">
        <f>iferror(trunc(harmean(H3:H20)), 0)</f>
        <v>0</v>
      </c>
      <c r="I2" s="54"/>
      <c r="J2" s="118" t="s">
        <v>51</v>
      </c>
      <c r="K2" s="118" t="s">
        <v>31</v>
      </c>
      <c r="L2" s="118"/>
      <c r="M2" s="40">
        <f>IFERROR(__xludf.DUMMYFUNCTION("""COMPUTED_VALUE"""),900.0)</f>
        <v>900</v>
      </c>
      <c r="N2" s="41">
        <f>IFERROR(__xludf.DUMMYFUNCTION("""COMPUTED_VALUE"""),1000.0)</f>
        <v>1000</v>
      </c>
      <c r="O2" s="42">
        <f>IFERROR(__xludf.DUMMYFUNCTION("""COMPUTED_VALUE"""),1100.0)</f>
        <v>1100</v>
      </c>
      <c r="P2" s="43">
        <f>IFERROR(__xludf.DUMMYFUNCTION("""COMPUTED_VALUE"""),1200.0)</f>
        <v>1200</v>
      </c>
    </row>
    <row r="3" ht="26.25" customHeight="1">
      <c r="A3" s="56" t="s">
        <v>32</v>
      </c>
      <c r="B3" s="57" t="s">
        <v>33</v>
      </c>
      <c r="C3" s="58" t="str">
        <f>IFERROR(__xludf.DUMMYFUNCTION("importrange(""https://docs.google.com/spreadsheets/d/1JxRnDKurkxZO94D2V46kmGWozPF7dbOpsMfWZL85LvU"", ""Advanced!C3:C20"")")," VT Pasu Advanced S5")</f>
        <v>VT Pasu Advanced S5</v>
      </c>
      <c r="D3" s="59"/>
      <c r="E3" s="49"/>
      <c r="F3" s="49"/>
      <c r="G3" s="61" t="str">
        <f>IFERROR(__xludf.DUMMYFUNCTION("sparkline(
  F3 - choose(match(F3, {0, M3:P3}), 0, M3, N3, O3, P3),
  {
    ""charttype"", ""bar"";
    ""max"", choose(match(F3, {0, M3:P3}), M3, N3-M3, O3-N3, P3-O3, 0);
    ""nan"", ""ignore"";
    ""color1"", iferror(choose(match(F3, {0, M3:P3}),
    "&amp;"  ""#ffd700"",
      ""#7900ff"",
      ""#ff2262"",
      ""#3d3d3d"",
      ""#aaaaaa""
    ))
  }
)
"),"")</f>
        <v/>
      </c>
      <c r="H3" s="62">
        <f t="array" ref="H3">trunc(min(1200, max(
choose(match(F3, {0, M3-(N3-M3), M3:P3}), 0, Intermediate!P$2, M$2, N$2, O$2, P$2)
 + (F3 - choose(match(F3, {0, M3-(N3-M3), M3:P3}), 0, M3-(N3-M3), M3, N3, O3, P3))
 / choose(match(F3, {0, M3-(N3-M3), M3:P3}), M3-(N3-M3), N3-M3, N3-M3, O3-N3, P3-O3, P3-O3)
 * choose(match(F3, {0, M3-(N3-M3), M3:P3}), Intermediate!P$2, M$2-Intermediate!P$2, N$2-M$2, O$2-N$2, P$2-O$2, P$2-O$2),
choose(match(F4, {0, M4-(N4-M4), M4:P4}), 0, Intermediate!P$2, M$2, N$2, O$2, P$2)
 + (F4 - choose(match(F4, {0, M4-(N4-M4), M4:P4}), 0, M4-(N4-M4), M4, N4, O4, P4))
 / choose(match(F4, {0, M4-(N4-M4), M4:P4}), M4-(N4-M4), N4-M4, N4-M4, O4-N4, P4-O4, P4-O4)
 * choose(match(F4, {0, M4-(N4-M4), M4:P4}), Intermediate!P$2, M$2-Intermediate!P$2, N$2-M$2, O$2-N$2, P$2-O$2, P$2-O$2)
)))</f>
        <v>0</v>
      </c>
      <c r="I3" s="62"/>
      <c r="J3" s="62"/>
      <c r="K3" s="62"/>
      <c r="L3" s="62"/>
      <c r="M3" s="119">
        <f>IFERROR(__xludf.DUMMYFUNCTION("""COMPUTED_VALUE"""),910.0)</f>
        <v>910</v>
      </c>
      <c r="N3" s="120">
        <f>IFERROR(__xludf.DUMMYFUNCTION("""COMPUTED_VALUE"""),1020.0)</f>
        <v>1020</v>
      </c>
      <c r="O3" s="121">
        <f>IFERROR(__xludf.DUMMYFUNCTION("""COMPUTED_VALUE"""),1110.0)</f>
        <v>1110</v>
      </c>
      <c r="P3" s="19">
        <f>IFERROR(__xludf.DUMMYFUNCTION("""COMPUTED_VALUE"""),1240.0)</f>
        <v>1240</v>
      </c>
    </row>
    <row r="4" ht="26.25" customHeight="1">
      <c r="C4" s="58" t="str">
        <f>IFERROR(__xludf.DUMMYFUNCTION("""COMPUTED_VALUE""")," VT Popcorn Advanced S5")</f>
        <v>VT Popcorn Advanced S5</v>
      </c>
      <c r="D4" s="59"/>
      <c r="E4" s="110"/>
      <c r="F4" s="49"/>
      <c r="G4" s="61" t="str">
        <f>IFERROR(__xludf.DUMMYFUNCTION("sparkline(
  F4 - choose(match(F4, {0, M4:P4}), 0, M4, N4, O4, P4),
  {
    ""charttype"", ""bar"";
    ""max"", choose(match(F4, {0, M4:P4}), M4, N4-M4, O4-N4, P4-O4, 0);
    ""nan"", ""ignore"";
    ""color1"", iferror(choose(match(F4, {0, M4:P4}),
    "&amp;"  ""#ffd700"",
      ""#7900ff"",
      ""#ff2262"",
      ""#3d3d3d"",
      ""#aaaaaa""
    ))
  }
)
"),"")</f>
        <v/>
      </c>
      <c r="I4" s="62"/>
      <c r="J4" s="62"/>
      <c r="K4" s="62"/>
      <c r="L4" s="62"/>
      <c r="M4" s="119">
        <f>IFERROR(__xludf.DUMMYFUNCTION("""COMPUTED_VALUE"""),680.0)</f>
        <v>680</v>
      </c>
      <c r="N4" s="120">
        <f>IFERROR(__xludf.DUMMYFUNCTION("""COMPUTED_VALUE"""),800.0)</f>
        <v>800</v>
      </c>
      <c r="O4" s="121">
        <f>IFERROR(__xludf.DUMMYFUNCTION("""COMPUTED_VALUE"""),910.0)</f>
        <v>910</v>
      </c>
      <c r="P4" s="19">
        <f>IFERROR(__xludf.DUMMYFUNCTION("""COMPUTED_VALUE"""),1020.0)</f>
        <v>1020</v>
      </c>
    </row>
    <row r="5" ht="26.25" customHeight="1">
      <c r="B5" s="67" t="s">
        <v>34</v>
      </c>
      <c r="C5" s="68" t="str">
        <f>IFERROR(__xludf.DUMMYFUNCTION("""COMPUTED_VALUE""")," VT 1w2ts Advanced S5")</f>
        <v>VT 1w2ts Advanced S5</v>
      </c>
      <c r="D5" s="69"/>
      <c r="E5" s="110"/>
      <c r="F5" s="49"/>
      <c r="G5" s="61" t="str">
        <f>IFERROR(__xludf.DUMMYFUNCTION("sparkline(
  F5 - choose(match(F5, {0, M5:P5}), 0, M5, N5, O5, P5),
  {
    ""charttype"", ""bar"";
    ""max"", choose(match(F5, {0, M5:P5}), M5, N5-M5, O5-N5, P5-O5, 0);
    ""nan"", ""ignore"";
    ""color1"", iferror(choose(match(F5, {0, M5:P5}),
    "&amp;"  ""#ffd700"",
      ""#7900ff"",
      ""#ff2262"",
      ""#3d3d3d"",
      ""#aaaaaa""
    ))
  }
)
"),"")</f>
        <v/>
      </c>
      <c r="H5" s="62">
        <f t="array" ref="H5">trunc(min(1200, max(
choose(match(F5, {0, M5-(N5-M5), M5:P5}), 0, Intermediate!P$2, M$2, N$2, O$2, P$2)
 + (F5 - choose(match(F5, {0, M5-(N5-M5), M5:P5}), 0, M5-(N5-M5), M5, N5, O5, P5))
 / choose(match(F5, {0, M5-(N5-M5), M5:P5}), M5-(N5-M5), N5-M5, N5-M5, O5-N5, P5-O5, P5-O5)
 * choose(match(F5, {0, M5-(N5-M5), M5:P5}), Intermediate!P$2, M$2-Intermediate!P$2, N$2-M$2, O$2-N$2, P$2-O$2, P$2-O$2),
choose(match(F6, {0, M6-(N6-M6), M6:P6}), 0, Intermediate!P$2, M$2, N$2, O$2, P$2)
 + (F6 - choose(match(F6, {0, M6-(N6-M6), M6:P6}), 0, M6-(N6-M6), M6, N6, O6, P6))
 / choose(match(F6, {0, M6-(N6-M6), M6:P6}), M6-(N6-M6), N6-M6, N6-M6, O6-N6, P6-O6, P6-O6)
 * choose(match(F6, {0, M6-(N6-M6), M6:P6}), Intermediate!P$2, M$2-Intermediate!P$2, N$2-M$2, O$2-N$2, P$2-O$2, P$2-O$2)
)))</f>
        <v>0</v>
      </c>
      <c r="I5" s="62"/>
      <c r="J5" s="62"/>
      <c r="K5" s="62"/>
      <c r="L5" s="62"/>
      <c r="M5" s="119">
        <f>IFERROR(__xludf.DUMMYFUNCTION("""COMPUTED_VALUE"""),1320.0)</f>
        <v>1320</v>
      </c>
      <c r="N5" s="120">
        <f>IFERROR(__xludf.DUMMYFUNCTION("""COMPUTED_VALUE"""),1420.0)</f>
        <v>1420</v>
      </c>
      <c r="O5" s="121">
        <f>IFERROR(__xludf.DUMMYFUNCTION("""COMPUTED_VALUE"""),1520.0)</f>
        <v>1520</v>
      </c>
      <c r="P5" s="19">
        <f>IFERROR(__xludf.DUMMYFUNCTION("""COMPUTED_VALUE"""),1620.0)</f>
        <v>1620</v>
      </c>
    </row>
    <row r="6" ht="26.25" customHeight="1">
      <c r="C6" s="71" t="str">
        <f>IFERROR(__xludf.DUMMYFUNCTION("""COMPUTED_VALUE""")," VT ww5t Advanced S5")</f>
        <v>VT ww5t Advanced S5</v>
      </c>
      <c r="D6" s="72"/>
      <c r="E6" s="110"/>
      <c r="F6" s="49"/>
      <c r="G6" s="61" t="str">
        <f>IFERROR(__xludf.DUMMYFUNCTION("sparkline(
  F6 - choose(match(F6, {0, M6:P6}), 0, M6, N6, O6, P6),
  {
    ""charttype"", ""bar"";
    ""max"", choose(match(F6, {0, M6:P6}), M6, N6-M6, O6-N6, P6-O6, 0);
    ""nan"", ""ignore"";
    ""color1"", iferror(choose(match(F6, {0, M6:P6}),
    "&amp;"  ""#ffd700"",
      ""#7900ff"",
      ""#ff2262"",
      ""#3d3d3d"",
      ""#aaaaaa""
    ))
  }
)
"),"")</f>
        <v/>
      </c>
      <c r="I6" s="62"/>
      <c r="J6" s="62"/>
      <c r="K6" s="62"/>
      <c r="L6" s="62"/>
      <c r="M6" s="119">
        <f>IFERROR(__xludf.DUMMYFUNCTION("""COMPUTED_VALUE"""),1510.0)</f>
        <v>1510</v>
      </c>
      <c r="N6" s="120">
        <f>IFERROR(__xludf.DUMMYFUNCTION("""COMPUTED_VALUE"""),1610.0)</f>
        <v>1610</v>
      </c>
      <c r="O6" s="121">
        <f>IFERROR(__xludf.DUMMYFUNCTION("""COMPUTED_VALUE"""),1720.0)</f>
        <v>1720</v>
      </c>
      <c r="P6" s="19">
        <f>IFERROR(__xludf.DUMMYFUNCTION("""COMPUTED_VALUE"""),1860.0)</f>
        <v>1860</v>
      </c>
    </row>
    <row r="7" ht="26.25" customHeight="1">
      <c r="B7" s="73" t="s">
        <v>35</v>
      </c>
      <c r="C7" s="74" t="str">
        <f>IFERROR(__xludf.DUMMYFUNCTION("""COMPUTED_VALUE""")," VT Frogtagon Advanced S5")</f>
        <v>VT Frogtagon Advanced S5</v>
      </c>
      <c r="D7" s="75"/>
      <c r="E7" s="110"/>
      <c r="F7" s="49"/>
      <c r="G7" s="61" t="str">
        <f>IFERROR(__xludf.DUMMYFUNCTION("sparkline(
  F7 - choose(match(F7, {0, M7:P7}), 0, M7, N7, O7, P7),
  {
    ""charttype"", ""bar"";
    ""max"", choose(match(F7, {0, M7:P7}), M7, N7-M7, O7-N7, P7-O7, 0);
    ""nan"", ""ignore"";
    ""color1"", iferror(choose(match(F7, {0, M7:P7}),
    "&amp;"  ""#ffd700"",
      ""#7900ff"",
      ""#ff2262"",
      ""#3d3d3d"",
      ""#aaaaaa""
    ))
  }
)
"),"")</f>
        <v/>
      </c>
      <c r="H7" s="62">
        <f t="array" ref="H7">trunc(min(1200, max(
choose(match(F7, {0, M7-(N7-M7), M7:P7}), 0, Intermediate!P$2, M$2, N$2, O$2, P$2)
 + (F7 - choose(match(F7, {0, M7-(N7-M7), M7:P7}), 0, M7-(N7-M7), M7, N7, O7, P7))
 / choose(match(F7, {0, M7-(N7-M7), M7:P7}), M7-(N7-M7), N7-M7, N7-M7, O7-N7, P7-O7, P7-O7)
 * choose(match(F7, {0, M7-(N7-M7), M7:P7}), Intermediate!P$2, M$2-Intermediate!P$2, N$2-M$2, O$2-N$2, P$2-O$2, P$2-O$2),
choose(match(F8, {0, M8-(N8-M8), M8:P8}), 0, Intermediate!P$2, M$2, N$2, O$2, P$2)
 + (F8 - choose(match(F8, {0, M8-(N8-M8), M8:P8}), 0, M8-(N8-M8), M8, N8, O8, P8))
 / choose(match(F8, {0, M8-(N8-M8), M8:P8}), M8-(N8-M8), N8-M8, N8-M8, O8-N8, P8-O8, P8-O8)
 * choose(match(F8, {0, M8-(N8-M8), M8:P8}), Intermediate!P$2, M$2-Intermediate!P$2, N$2-M$2, O$2-N$2, P$2-O$2, P$2-O$2)
)))</f>
        <v>0</v>
      </c>
      <c r="I7" s="62"/>
      <c r="J7" s="62"/>
      <c r="K7" s="62"/>
      <c r="L7" s="62"/>
      <c r="M7" s="119">
        <f>IFERROR(__xludf.DUMMYFUNCTION("""COMPUTED_VALUE"""),1090.0)</f>
        <v>1090</v>
      </c>
      <c r="N7" s="120">
        <f>IFERROR(__xludf.DUMMYFUNCTION("""COMPUTED_VALUE"""),1220.0)</f>
        <v>1220</v>
      </c>
      <c r="O7" s="121">
        <f>IFERROR(__xludf.DUMMYFUNCTION("""COMPUTED_VALUE"""),1360.0)</f>
        <v>1360</v>
      </c>
      <c r="P7" s="19">
        <f>IFERROR(__xludf.DUMMYFUNCTION("""COMPUTED_VALUE"""),1490.0)</f>
        <v>1490</v>
      </c>
    </row>
    <row r="8" ht="26.25" customHeight="1">
      <c r="C8" s="74" t="str">
        <f>IFERROR(__xludf.DUMMYFUNCTION("""COMPUTED_VALUE""")," VT Floating Heads Advanced S5")</f>
        <v>VT Floating Heads Advanced S5</v>
      </c>
      <c r="D8" s="75"/>
      <c r="E8" s="110"/>
      <c r="F8" s="49"/>
      <c r="G8" s="61" t="str">
        <f>IFERROR(__xludf.DUMMYFUNCTION("sparkline(
  F8 - choose(match(F8, {0, M8:P8}), 0, M8, N8, O8, P8),
  {
    ""charttype"", ""bar"";
    ""max"", choose(match(F8, {0, M8:P8}), M8, N8-M8, O8-N8, P8-O8, 0);
    ""nan"", ""ignore"";
    ""color1"", iferror(choose(match(F8, {0, M8:P8}),
    "&amp;"  ""#ffd700"",
      ""#7900ff"",
      ""#ff2262"",
      ""#3d3d3d"",
      ""#aaaaaa""
    ))
  }
)
"),"")</f>
        <v/>
      </c>
      <c r="I8" s="62"/>
      <c r="J8" s="62"/>
      <c r="K8" s="62"/>
      <c r="L8" s="62"/>
      <c r="M8" s="119">
        <f>IFERROR(__xludf.DUMMYFUNCTION("""COMPUTED_VALUE"""),740.0)</f>
        <v>740</v>
      </c>
      <c r="N8" s="120">
        <f>IFERROR(__xludf.DUMMYFUNCTION("""COMPUTED_VALUE"""),830.0)</f>
        <v>830</v>
      </c>
      <c r="O8" s="121">
        <f>IFERROR(__xludf.DUMMYFUNCTION("""COMPUTED_VALUE"""),920.0)</f>
        <v>920</v>
      </c>
      <c r="P8" s="19">
        <f>IFERROR(__xludf.DUMMYFUNCTION("""COMPUTED_VALUE"""),1050.0)</f>
        <v>1050</v>
      </c>
    </row>
    <row r="9" ht="26.25" customHeight="1">
      <c r="A9" s="76" t="s">
        <v>36</v>
      </c>
      <c r="B9" s="77" t="s">
        <v>37</v>
      </c>
      <c r="C9" s="78" t="str">
        <f>IFERROR(__xludf.DUMMYFUNCTION("""COMPUTED_VALUE""")," VT PGT Advanced S5")</f>
        <v>VT PGT Advanced S5</v>
      </c>
      <c r="D9" s="79"/>
      <c r="E9" s="110"/>
      <c r="F9" s="49"/>
      <c r="G9" s="61" t="str">
        <f>IFERROR(__xludf.DUMMYFUNCTION("sparkline(
  F9 - choose(match(F9, {0, M9:P9}), 0, M9, N9, O9, P9),
  {
    ""charttype"", ""bar"";
    ""max"", choose(match(F9, {0, M9:P9}), M9, N9-M9, O9-N9, P9-O9, 0);
    ""nan"", ""ignore"";
    ""color1"", iferror(choose(match(F9, {0, M9:P9}),
    "&amp;"  ""#ffd700"",
      ""#7900ff"",
      ""#ff2262"",
      ""#3d3d3d"",
      ""#aaaaaa""
    ))
  }
)
"),"")</f>
        <v/>
      </c>
      <c r="H9" s="62">
        <f t="array" ref="H9">trunc(min(1200, max(
choose(match(F9, {0, M9-(N9-M9), M9:P9}), 0, Intermediate!P$2, M$2, N$2, O$2, P$2)
 + (F9 - choose(match(F9, {0, M9-(N9-M9), M9:P9}), 0, M9-(N9-M9), M9, N9, O9, P9))
 / choose(match(F9, {0, M9-(N9-M9), M9:P9}), M9-(N9-M9), N9-M9, N9-M9, O9-N9, P9-O9, P9-O9)
 * choose(match(F9, {0, M9-(N9-M9), M9:P9}), Intermediate!P$2, M$2-Intermediate!P$2, N$2-M$2, O$2-N$2, P$2-O$2, P$2-O$2),
choose(match(F10, {0, M10-(N10-M10), M10:P10}), 0, Intermediate!P$2, M$2, N$2, O$2, P$2)
 + (F10 - choose(match(F10, {0, M10-(N10-M10), M10:P10}), 0, M10-(N10-M10), M10, N10, O10, P10))
 / choose(match(F10, {0, M10-(N10-M10), M10:P10}), M10-(N10-M10), N10-M10, N10-M10, O10-N10, P10-O10, P10-O10)
 * choose(match(F10, {0, M10-(N10-M10), M10:P10}), Intermediate!P$2, M$2-Intermediate!P$2, N$2-M$2, O$2-N$2, P$2-O$2, P$2-O$2)
)))</f>
        <v>0</v>
      </c>
      <c r="I9" s="62"/>
      <c r="J9" s="62"/>
      <c r="K9" s="62"/>
      <c r="L9" s="62"/>
      <c r="M9" s="122">
        <f>IFERROR(__xludf.DUMMYFUNCTION("""COMPUTED_VALUE"""),2750.0)</f>
        <v>2750</v>
      </c>
      <c r="N9" s="120">
        <f>IFERROR(__xludf.DUMMYFUNCTION("""COMPUTED_VALUE"""),3175.0)</f>
        <v>3175</v>
      </c>
      <c r="O9" s="121">
        <f>IFERROR(__xludf.DUMMYFUNCTION("""COMPUTED_VALUE"""),3625.0)</f>
        <v>3625</v>
      </c>
      <c r="P9" s="19">
        <f>IFERROR(__xludf.DUMMYFUNCTION("""COMPUTED_VALUE"""),4050.0)</f>
        <v>4050</v>
      </c>
    </row>
    <row r="10" ht="26.25" customHeight="1">
      <c r="C10" s="78" t="str">
        <f>IFERROR(__xludf.DUMMYFUNCTION("""COMPUTED_VALUE""")," VT Snake Track Advanced S5")</f>
        <v>VT Snake Track Advanced S5</v>
      </c>
      <c r="D10" s="79"/>
      <c r="E10" s="110"/>
      <c r="F10" s="49"/>
      <c r="G10" s="61" t="str">
        <f>IFERROR(__xludf.DUMMYFUNCTION("sparkline(
  F10 - choose(match(F10, {0, M10:P10}), 0, M10, N10, O10, P10),
  {
    ""charttype"", ""bar"";
    ""max"", choose(match(F10, {0, M10:P10}), M10, N10-M10, O10-N10, P10-O10, 0);
    ""nan"", ""ignore"";
    ""color1"", iferror(choose(match(F10"&amp;", {0, M10:P10}),
      ""#ffd700"",
      ""#7900ff"",
      ""#ff2262"",
      ""#3d3d3d"",
      ""#aaaaaa""
    ))
  }
)
"),"")</f>
        <v/>
      </c>
      <c r="I10" s="62"/>
      <c r="J10" s="62"/>
      <c r="K10" s="62"/>
      <c r="L10" s="62"/>
      <c r="M10" s="122">
        <f>IFERROR(__xludf.DUMMYFUNCTION("""COMPUTED_VALUE"""),3050.0)</f>
        <v>3050</v>
      </c>
      <c r="N10" s="120">
        <f>IFERROR(__xludf.DUMMYFUNCTION("""COMPUTED_VALUE"""),3425.0)</f>
        <v>3425</v>
      </c>
      <c r="O10" s="121">
        <f>IFERROR(__xludf.DUMMYFUNCTION("""COMPUTED_VALUE"""),3725.0)</f>
        <v>3725</v>
      </c>
      <c r="P10" s="19">
        <f>IFERROR(__xludf.DUMMYFUNCTION("""COMPUTED_VALUE"""),4050.0)</f>
        <v>4050</v>
      </c>
    </row>
    <row r="11" ht="26.25" customHeight="1">
      <c r="B11" s="80" t="s">
        <v>38</v>
      </c>
      <c r="C11" s="81" t="str">
        <f>IFERROR(__xludf.DUMMYFUNCTION("""COMPUTED_VALUE""")," VT Aether Advanced S5")</f>
        <v>VT Aether Advanced S5</v>
      </c>
      <c r="D11" s="82"/>
      <c r="E11" s="110"/>
      <c r="F11" s="49"/>
      <c r="G11" s="61" t="str">
        <f>IFERROR(__xludf.DUMMYFUNCTION("sparkline(
  F11 - choose(match(F11, {0, M11:P11}), 0, M11, N11, O11, P11),
  {
    ""charttype"", ""bar"";
    ""max"", choose(match(F11, {0, M11:P11}), M11, N11-M11, O11-N11, P11-O11, 0);
    ""nan"", ""ignore"";
    ""color1"", iferror(choose(match(F11"&amp;", {0, M11:P11}),
      ""#ffd700"",
      ""#7900ff"",
      ""#ff2262"",
      ""#3d3d3d"",
      ""#aaaaaa""
    ))
  }
)
"),"")</f>
        <v/>
      </c>
      <c r="H11" s="62">
        <f t="array" ref="H11">trunc(min(1200, max(
choose(match(F11, {0, M11-(N11-M11), M11:P11}), 0, Intermediate!P$2, M$2, N$2, O$2, P$2)
 + (F11 - choose(match(F11, {0, M11-(N11-M11), M11:P11}), 0, M11-(N11-M11), M11, N11, O11, P11))
 / choose(match(F11, {0, M11-(N11-M11), M11:P11}), M11-(N11-M11), N11-M11, N11-M11, O11-N11, P11-O11, P11-O11)
 * choose(match(F11, {0, M11-(N11-M11), M11:P11}), Intermediate!P$2, M$2-Intermediate!P$2, N$2-M$2, O$2-N$2, P$2-O$2, P$2-O$2),
choose(match(F12, {0, M12-(N12-M12), M12:P12}), 0, Intermediate!P$2, M$2, N$2, O$2, P$2)
 + (F12 - choose(match(F12, {0, M12-(N12-M12), M12:P12}), 0, M12-(N12-M12), M12, N12, O12, P12))
 / choose(match(F12, {0, M12-(N12-M12), M12:P12}), M12-(N12-M12), N12-M12, N12-M12, O12-N12, P12-O12, P12-O12)
 * choose(match(F12, {0, M12-(N12-M12), M12:P12}), Intermediate!P$2, M$2-Intermediate!P$2, N$2-M$2, O$2-N$2, P$2-O$2, P$2-O$2)
)))</f>
        <v>0</v>
      </c>
      <c r="I11" s="62"/>
      <c r="J11" s="62"/>
      <c r="K11" s="62"/>
      <c r="L11" s="62"/>
      <c r="M11" s="122">
        <f>IFERROR(__xludf.DUMMYFUNCTION("""COMPUTED_VALUE"""),2750.0)</f>
        <v>2750</v>
      </c>
      <c r="N11" s="120">
        <f>IFERROR(__xludf.DUMMYFUNCTION("""COMPUTED_VALUE"""),3175.0)</f>
        <v>3175</v>
      </c>
      <c r="O11" s="121">
        <f>IFERROR(__xludf.DUMMYFUNCTION("""COMPUTED_VALUE"""),3525.0)</f>
        <v>3525</v>
      </c>
      <c r="P11" s="19">
        <f>IFERROR(__xludf.DUMMYFUNCTION("""COMPUTED_VALUE"""),3825.0)</f>
        <v>3825</v>
      </c>
    </row>
    <row r="12" ht="26.25" customHeight="1">
      <c r="C12" s="81" t="str">
        <f>IFERROR(__xludf.DUMMYFUNCTION("""COMPUTED_VALUE""")," VT Ground Advanced S5")</f>
        <v>VT Ground Advanced S5</v>
      </c>
      <c r="D12" s="82"/>
      <c r="E12" s="110"/>
      <c r="F12" s="49"/>
      <c r="G12" s="61" t="str">
        <f>IFERROR(__xludf.DUMMYFUNCTION("sparkline(
  F12 - choose(match(F12, {0, M12:P12}), 0, M12, N12, O12, P12),
  {
    ""charttype"", ""bar"";
    ""max"", choose(match(F12, {0, M12:P12}), M12, N12-M12, O12-N12, P12-O12, 0);
    ""nan"", ""ignore"";
    ""color1"", iferror(choose(match(F12"&amp;", {0, M12:P12}),
      ""#ffd700"",
      ""#7900ff"",
      ""#ff2262"",
      ""#3d3d3d"",
      ""#aaaaaa""
    ))
  }
)
"),"")</f>
        <v/>
      </c>
      <c r="I12" s="62"/>
      <c r="J12" s="62"/>
      <c r="K12" s="62"/>
      <c r="L12" s="62"/>
      <c r="M12" s="122">
        <f>IFERROR(__xludf.DUMMYFUNCTION("""COMPUTED_VALUE"""),2875.0)</f>
        <v>2875</v>
      </c>
      <c r="N12" s="120">
        <f>IFERROR(__xludf.DUMMYFUNCTION("""COMPUTED_VALUE"""),3200.0)</f>
        <v>3200</v>
      </c>
      <c r="O12" s="121">
        <f>IFERROR(__xludf.DUMMYFUNCTION("""COMPUTED_VALUE"""),3500.0)</f>
        <v>3500</v>
      </c>
      <c r="P12" s="19">
        <f>IFERROR(__xludf.DUMMYFUNCTION("""COMPUTED_VALUE"""),3725.0)</f>
        <v>3725</v>
      </c>
    </row>
    <row r="13" ht="26.25" customHeight="1">
      <c r="B13" s="83" t="s">
        <v>39</v>
      </c>
      <c r="C13" s="84" t="str">
        <f>IFERROR(__xludf.DUMMYFUNCTION("""COMPUTED_VALUE""")," VT Raw Control Advanced S5")</f>
        <v>VT Raw Control Advanced S5</v>
      </c>
      <c r="D13" s="85"/>
      <c r="E13" s="110"/>
      <c r="F13" s="49"/>
      <c r="G13" s="61" t="str">
        <f>IFERROR(__xludf.DUMMYFUNCTION("sparkline(
  F13 - choose(match(F13, {0, M13:P13}), 0, M13, N13, O13, P13),
  {
    ""charttype"", ""bar"";
    ""max"", choose(match(F13, {0, M13:P13}), M13, N13-M13, O13-N13, P13-O13, 0);
    ""nan"", ""ignore"";
    ""color1"", iferror(choose(match(F13"&amp;", {0, M13:P13}),
      ""#ffd700"",
      ""#7900ff"",
      ""#ff2262"",
      ""#3d3d3d"",
      ""#aaaaaa""
    ))
  }
)
"),"")</f>
        <v/>
      </c>
      <c r="H13" s="62">
        <f t="array" ref="H13">trunc(min(1200, max(
choose(match(F13, {0, M13-(N13-M13), M13:P13}), 0, Intermediate!P$2, M$2, N$2, O$2, P$2)
 + (F13 - choose(match(F13, {0, M13-(N13-M13), M13:P13}), 0, M13-(N13-M13), M13, N13, O13, P13))
 / choose(match(F13, {0, M13-(N13-M13), M13:P13}), M13-(N13-M13), N13-M13, N13-M13, O13-N13, P13-O13, P13-O13)
 * choose(match(F13, {0, M13-(N13-M13), M13:P13}), Intermediate!P$2, M$2-Intermediate!P$2, N$2-M$2, O$2-N$2, P$2-O$2, P$2-O$2),
choose(match(F14, {0, M14-(N14-M14), M14:P14}), 0, Intermediate!P$2, M$2, N$2, O$2, P$2)
 + (F14 - choose(match(F14, {0, M14-(N14-M14), M14:P14}), 0, M14-(N14-M14), M14, N14, O14, P14))
 / choose(match(F14, {0, M14-(N14-M14), M14:P14}), M14-(N14-M14), N14-M14, N14-M14, O14-N14, P14-O14, P14-O14)
 * choose(match(F14, {0, M14-(N14-M14), M14:P14}), Intermediate!P$2, M$2-Intermediate!P$2, N$2-M$2, O$2-N$2, P$2-O$2, P$2-O$2)
)))</f>
        <v>0</v>
      </c>
      <c r="I13" s="62"/>
      <c r="J13" s="62"/>
      <c r="K13" s="62"/>
      <c r="L13" s="62"/>
      <c r="M13" s="122">
        <f>IFERROR(__xludf.DUMMYFUNCTION("""COMPUTED_VALUE"""),3150.0)</f>
        <v>3150</v>
      </c>
      <c r="N13" s="120">
        <f>IFERROR(__xludf.DUMMYFUNCTION("""COMPUTED_VALUE"""),3550.0)</f>
        <v>3550</v>
      </c>
      <c r="O13" s="121">
        <f>IFERROR(__xludf.DUMMYFUNCTION("""COMPUTED_VALUE"""),3875.0)</f>
        <v>3875</v>
      </c>
      <c r="P13" s="19">
        <f>IFERROR(__xludf.DUMMYFUNCTION("""COMPUTED_VALUE"""),4250.0)</f>
        <v>4250</v>
      </c>
    </row>
    <row r="14" ht="26.25" customHeight="1">
      <c r="C14" s="84" t="str">
        <f>IFERROR(__xludf.DUMMYFUNCTION("""COMPUTED_VALUE""")," VT Controlsphere Advanced S5")</f>
        <v>VT Controlsphere Advanced S5</v>
      </c>
      <c r="D14" s="85"/>
      <c r="E14" s="110"/>
      <c r="F14" s="49"/>
      <c r="G14" s="61" t="str">
        <f>IFERROR(__xludf.DUMMYFUNCTION("sparkline(
  F14 - choose(match(F14, {0, M14:P14}), 0, M14, N14, O14, P14),
  {
    ""charttype"", ""bar"";
    ""max"", choose(match(F14, {0, M14:P14}), M14, N14-M14, O14-N14, P14-O14, 0);
    ""nan"", ""ignore"";
    ""color1"", iferror(choose(match(F14"&amp;", {0, M14:P14}),
      ""#ffd700"",
      ""#7900ff"",
      ""#ff2262"",
      ""#3d3d3d"",
      ""#aaaaaa""
    ))
  }
)
"),"")</f>
        <v/>
      </c>
      <c r="I14" s="62"/>
      <c r="J14" s="62"/>
      <c r="K14" s="62"/>
      <c r="L14" s="62"/>
      <c r="M14" s="122">
        <f>IFERROR(__xludf.DUMMYFUNCTION("""COMPUTED_VALUE"""),3100.0)</f>
        <v>3100</v>
      </c>
      <c r="N14" s="120">
        <f>IFERROR(__xludf.DUMMYFUNCTION("""COMPUTED_VALUE"""),3475.0)</f>
        <v>3475</v>
      </c>
      <c r="O14" s="121">
        <f>IFERROR(__xludf.DUMMYFUNCTION("""COMPUTED_VALUE"""),3800.0)</f>
        <v>3800</v>
      </c>
      <c r="P14" s="19">
        <f>IFERROR(__xludf.DUMMYFUNCTION("""COMPUTED_VALUE"""),4125.0)</f>
        <v>4125</v>
      </c>
    </row>
    <row r="15" ht="26.25" customHeight="1">
      <c r="A15" s="86" t="s">
        <v>40</v>
      </c>
      <c r="B15" s="87" t="s">
        <v>41</v>
      </c>
      <c r="C15" s="88" t="str">
        <f>IFERROR(__xludf.DUMMYFUNCTION("""COMPUTED_VALUE""")," VT DotTS Advanced S5")</f>
        <v>VT DotTS Advanced S5</v>
      </c>
      <c r="D15" s="89"/>
      <c r="E15" s="110"/>
      <c r="F15" s="49"/>
      <c r="G15" s="61" t="str">
        <f>IFERROR(__xludf.DUMMYFUNCTION("sparkline(
  F15 - choose(match(F15, {0, M15:P15}), 0, M15, N15, O15, P15),
  {
    ""charttype"", ""bar"";
    ""max"", choose(match(F15, {0, M15:P15}), M15, N15-M15, O15-N15, P15-O15, 0);
    ""nan"", ""ignore"";
    ""color1"", iferror(choose(match(F15"&amp;", {0, M15:P15}),
      ""#ffd700"",
      ""#7900ff"",
      ""#ff2262"",
      ""#3d3d3d"",
      ""#aaaaaa""
    ))
  }
)
"),"")</f>
        <v/>
      </c>
      <c r="H15" s="62">
        <f t="array" ref="H15">trunc(min(1200, max(
choose(match(F15, {0, M15-(N15-M15), M15:P15}), 0, Intermediate!P$2, M$2, N$2, O$2, P$2)
 + (F15 - choose(match(F15, {0, M15-(N15-M15), M15:P15}), 0, M15-(N15-M15), M15, N15, O15, P15))
 / choose(match(F15, {0, M15-(N15-M15), M15:P15}), M15-(N15-M15), N15-M15, N15-M15, O15-N15, P15-O15, P15-O15)
 * choose(match(F15, {0, M15-(N15-M15), M15:P15}), Intermediate!P$2, M$2-Intermediate!P$2, N$2-M$2, O$2-N$2, P$2-O$2, P$2-O$2),
choose(match(F16, {0, M16-(N16-M16), M16:P16}), 0, Intermediate!P$2, M$2, N$2, O$2, P$2)
 + (F16 - choose(match(F16, {0, M16-(N16-M16), M16:P16}), 0, M16-(N16-M16), M16, N16, O16, P16))
 / choose(match(F16, {0, M16-(N16-M16), M16:P16}), M16-(N16-M16), N16-M16, N16-M16, O16-N16, P16-O16, P16-O16)
 * choose(match(F16, {0, M16-(N16-M16), M16:P16}), Intermediate!P$2, M$2-Intermediate!P$2, N$2-M$2, O$2-N$2, P$2-O$2, P$2-O$2)
)))</f>
        <v>0</v>
      </c>
      <c r="I15" s="62"/>
      <c r="J15" s="62"/>
      <c r="K15" s="62"/>
      <c r="L15" s="62"/>
      <c r="M15" s="122">
        <f>IFERROR(__xludf.DUMMYFUNCTION("""COMPUTED_VALUE"""),1280.0)</f>
        <v>1280</v>
      </c>
      <c r="N15" s="120">
        <f>IFERROR(__xludf.DUMMYFUNCTION("""COMPUTED_VALUE"""),1360.0)</f>
        <v>1360</v>
      </c>
      <c r="O15" s="121">
        <f>IFERROR(__xludf.DUMMYFUNCTION("""COMPUTED_VALUE"""),1420.0)</f>
        <v>1420</v>
      </c>
      <c r="P15" s="19">
        <f>IFERROR(__xludf.DUMMYFUNCTION("""COMPUTED_VALUE"""),1500.0)</f>
        <v>1500</v>
      </c>
    </row>
    <row r="16" ht="26.25" customHeight="1">
      <c r="C16" s="88" t="str">
        <f>IFERROR(__xludf.DUMMYFUNCTION("""COMPUTED_VALUE""")," VT EddieTS Advanced S5")</f>
        <v>VT EddieTS Advanced S5</v>
      </c>
      <c r="D16" s="89"/>
      <c r="E16" s="110"/>
      <c r="F16" s="49"/>
      <c r="G16" s="61" t="str">
        <f>IFERROR(__xludf.DUMMYFUNCTION("sparkline(
  F16 - choose(match(F16, {0, M16:P16}), 0, M16, N16, O16, P16),
  {
    ""charttype"", ""bar"";
    ""max"", choose(match(F16, {0, M16:P16}), M16, N16-M16, O16-N16, P16-O16, 0);
    ""nan"", ""ignore"";
    ""color1"", iferror(choose(match(F16"&amp;", {0, M16:P16}),
      ""#ffd700"",
      ""#7900ff"",
      ""#ff2262"",
      ""#3d3d3d"",
      ""#aaaaaa""
    ))
  }
)
"),"")</f>
        <v/>
      </c>
      <c r="I16" s="62"/>
      <c r="J16" s="62"/>
      <c r="K16" s="62"/>
      <c r="L16" s="62"/>
      <c r="M16" s="122">
        <f>IFERROR(__xludf.DUMMYFUNCTION("""COMPUTED_VALUE"""),1020.0)</f>
        <v>1020</v>
      </c>
      <c r="N16" s="120">
        <f>IFERROR(__xludf.DUMMYFUNCTION("""COMPUTED_VALUE"""),1120.0)</f>
        <v>1120</v>
      </c>
      <c r="O16" s="121">
        <f>IFERROR(__xludf.DUMMYFUNCTION("""COMPUTED_VALUE"""),1200.0)</f>
        <v>1200</v>
      </c>
      <c r="P16" s="19">
        <f>IFERROR(__xludf.DUMMYFUNCTION("""COMPUTED_VALUE"""),1280.0)</f>
        <v>1280</v>
      </c>
    </row>
    <row r="17" ht="26.25" customHeight="1">
      <c r="B17" s="93" t="s">
        <v>42</v>
      </c>
      <c r="C17" s="94" t="str">
        <f>IFERROR(__xludf.DUMMYFUNCTION("""COMPUTED_VALUE""")," VT DriftTS Advanced S5")</f>
        <v>VT DriftTS Advanced S5</v>
      </c>
      <c r="D17" s="95"/>
      <c r="E17" s="110"/>
      <c r="F17" s="49"/>
      <c r="G17" s="61" t="str">
        <f>IFERROR(__xludf.DUMMYFUNCTION("sparkline(
  F17 - choose(match(F17, {0, M17:P17}), 0, M17, N17, O17, P17),
  {
    ""charttype"", ""bar"";
    ""max"", choose(match(F17, {0, M17:P17}), M17, N17-M17, O17-N17, P17-O17, 0);
    ""nan"", ""ignore"";
    ""color1"", iferror(choose(match(F17"&amp;", {0, M17:P17}),
      ""#ffd700"",
      ""#7900ff"",
      ""#ff2262"",
      ""#3d3d3d"",
      ""#aaaaaa""
    ))
  }
)
"),"")</f>
        <v/>
      </c>
      <c r="H17" s="62">
        <f t="array" ref="H17">trunc(min(1200, max(
choose(match(F17, {0, M17-(N17-M17), M17:P17}), 0, Intermediate!P$2, M$2, N$2, O$2, P$2)
 + (F17 - choose(match(F17, {0, M17-(N17-M17), M17:P17}), 0, M17-(N17-M17), M17, N17, O17, P17))
 / choose(match(F17, {0, M17-(N17-M17), M17:P17}), M17-(N17-M17), N17-M17, N17-M17, O17-N17, P17-O17, P17-O17)
 * choose(match(F17, {0, M17-(N17-M17), M17:P17}), Intermediate!P$2, M$2-Intermediate!P$2, N$2-M$2, O$2-N$2, P$2-O$2, P$2-O$2),
choose(match(F18, {0, M18-(N18-M18), M18:P18}), 0, Intermediate!P$2, M$2, N$2, O$2, P$2)
 + (F18 - choose(match(F18, {0, M18-(N18-M18), M18:P18}), 0, M18-(N18-M18), M18, N18, O18, P18))
 / choose(match(F18, {0, M18-(N18-M18), M18:P18}), M18-(N18-M18), N18-M18, N18-M18, O18-N18, P18-O18, P18-O18)
 * choose(match(F18, {0, M18-(N18-M18), M18:P18}), Intermediate!P$2, M$2-Intermediate!P$2, N$2-M$2, O$2-N$2, P$2-O$2, P$2-O$2)
)))</f>
        <v>0</v>
      </c>
      <c r="I17" s="62"/>
      <c r="J17" s="62"/>
      <c r="K17" s="62"/>
      <c r="L17" s="62"/>
      <c r="M17" s="119">
        <f>IFERROR(__xludf.DUMMYFUNCTION("""COMPUTED_VALUE"""),430.0)</f>
        <v>430</v>
      </c>
      <c r="N17" s="120">
        <f>IFERROR(__xludf.DUMMYFUNCTION("""COMPUTED_VALUE"""),470.0)</f>
        <v>470</v>
      </c>
      <c r="O17" s="121">
        <f>IFERROR(__xludf.DUMMYFUNCTION("""COMPUTED_VALUE"""),510.0)</f>
        <v>510</v>
      </c>
      <c r="P17" s="19">
        <f>IFERROR(__xludf.DUMMYFUNCTION("""COMPUTED_VALUE"""),540.0)</f>
        <v>540</v>
      </c>
    </row>
    <row r="18" ht="26.25" customHeight="1">
      <c r="C18" s="94" t="str">
        <f>IFERROR(__xludf.DUMMYFUNCTION("""COMPUTED_VALUE""")," VT FlyTS Advanced S5")</f>
        <v>VT FlyTS Advanced S5</v>
      </c>
      <c r="D18" s="95"/>
      <c r="E18" s="110"/>
      <c r="F18" s="49"/>
      <c r="G18" s="61" t="str">
        <f>IFERROR(__xludf.DUMMYFUNCTION("sparkline(
  F18 - choose(match(F18, {0, M18:P18}), 0, M18, N18, O18, P18),
  {
    ""charttype"", ""bar"";
    ""max"", choose(match(F18, {0, M18:P18}), M18, N18-M18, O18-N18, P18-O18, 0);
    ""nan"", ""ignore"";
    ""color1"", iferror(choose(match(F18"&amp;", {0, M18:P18}),
      ""#ffd700"",
      ""#7900ff"",
      ""#ff2262"",
      ""#3d3d3d"",
      ""#aaaaaa""
    ))
  }
)
"),"")</f>
        <v/>
      </c>
      <c r="I18" s="62"/>
      <c r="J18" s="62"/>
      <c r="K18" s="62"/>
      <c r="L18" s="62"/>
      <c r="M18" s="119">
        <f>IFERROR(__xludf.DUMMYFUNCTION("""COMPUTED_VALUE"""),540.0)</f>
        <v>540</v>
      </c>
      <c r="N18" s="120">
        <f>IFERROR(__xludf.DUMMYFUNCTION("""COMPUTED_VALUE"""),600.0)</f>
        <v>600</v>
      </c>
      <c r="O18" s="121">
        <f>IFERROR(__xludf.DUMMYFUNCTION("""COMPUTED_VALUE"""),660.0)</f>
        <v>660</v>
      </c>
      <c r="P18" s="19">
        <f>IFERROR(__xludf.DUMMYFUNCTION("""COMPUTED_VALUE"""),720.0)</f>
        <v>720</v>
      </c>
    </row>
    <row r="19" ht="26.25" customHeight="1">
      <c r="B19" s="96" t="s">
        <v>43</v>
      </c>
      <c r="C19" s="97" t="str">
        <f>IFERROR(__xludf.DUMMYFUNCTION("""COMPUTED_VALUE""")," VT ControlTS Advanced S5")</f>
        <v>VT ControlTS Advanced S5</v>
      </c>
      <c r="D19" s="98"/>
      <c r="E19" s="110"/>
      <c r="F19" s="49"/>
      <c r="G19" s="61" t="str">
        <f>IFERROR(__xludf.DUMMYFUNCTION("sparkline(
  F19 - choose(match(F19, {0, M19:P19}), 0, M19, N19, O19, P19),
  {
    ""charttype"", ""bar"";
    ""max"", choose(match(F19, {0, M19:P19}), M19, N19-M19, O19-N19, P19-O19, 0);
    ""nan"", ""ignore"";
    ""color1"", iferror(choose(match(F19"&amp;", {0, M19:P19}),
      ""#ffd700"",
      ""#7900ff"",
      ""#ff2262"",
      ""#3d3d3d"",
      ""#aaaaaa""
    ))
  }
)
"),"")</f>
        <v/>
      </c>
      <c r="H19" s="62">
        <f t="array" ref="H19">trunc(min(1200, max(
choose(match(F19, {0, M19-(N19-M19), M19:P19}), 0, Intermediate!P$2, M$2, N$2, O$2, P$2)
 + (F19 - choose(match(F19, {0, M19-(N19-M19), M19:P19}), 0, M19-(N19-M19), M19, N19, O19, P19))
 / choose(match(F19, {0, M19-(N19-M19), M19:P19}), M19-(N19-M19), N19-M19, N19-M19, O19-N19, P19-O19, P19-O19)
 * choose(match(F19, {0, M19-(N19-M19), M19:P19}), Intermediate!P$2, M$2-Intermediate!P$2, N$2-M$2, O$2-N$2, P$2-O$2, P$2-O$2),
choose(match(F20, {0, M20-(N20-M20), M20:P20}), 0, Intermediate!P$2, M$2, N$2, O$2, P$2)
 + (F20 - choose(match(F20, {0, M20-(N20-M20), M20:P20}), 0, M20-(N20-M20), M20, N20, O20, P20))
 / choose(match(F20, {0, M20-(N20-M20), M20:P20}), M20-(N20-M20), N20-M20, N20-M20, O20-N20, P20-O20, P20-O20)
 * choose(match(F20, {0, M20-(N20-M20), M20:P20}), Intermediate!P$2, M$2-Intermediate!P$2, N$2-M$2, O$2-N$2, P$2-O$2, P$2-O$2)
)))</f>
        <v>0</v>
      </c>
      <c r="I19" s="62"/>
      <c r="J19" s="62"/>
      <c r="K19" s="62"/>
      <c r="L19" s="62"/>
      <c r="M19" s="119">
        <f>IFERROR(__xludf.DUMMYFUNCTION("""COMPUTED_VALUE"""),450.0)</f>
        <v>450</v>
      </c>
      <c r="N19" s="120">
        <f>IFERROR(__xludf.DUMMYFUNCTION("""COMPUTED_VALUE"""),490.0)</f>
        <v>490</v>
      </c>
      <c r="O19" s="121">
        <f>IFERROR(__xludf.DUMMYFUNCTION("""COMPUTED_VALUE"""),520.0)</f>
        <v>520</v>
      </c>
      <c r="P19" s="19">
        <f>IFERROR(__xludf.DUMMYFUNCTION("""COMPUTED_VALUE"""),550.0)</f>
        <v>550</v>
      </c>
    </row>
    <row r="20" ht="26.25" customHeight="1">
      <c r="C20" s="97" t="str">
        <f>IFERROR(__xludf.DUMMYFUNCTION("""COMPUTED_VALUE""")," VT Penta Bounce Advanced S5")</f>
        <v>VT Penta Bounce Advanced S5</v>
      </c>
      <c r="D20" s="98"/>
      <c r="E20" s="110"/>
      <c r="F20" s="49"/>
      <c r="G20" s="61" t="str">
        <f>IFERROR(__xludf.DUMMYFUNCTION("sparkline(
  F20 - choose(match(F20, {0, M20:P20}), 0, M20, N20, O20, P20),
  {
    ""charttype"", ""bar"";
    ""max"", choose(match(F20, {0, M20:P20}), M20, N20-M20, O20-N20, P20-O20, 0);
    ""nan"", ""ignore"";
    ""color1"", iferror(choose(match(F20"&amp;", {0, M20:P20}),
      ""#ffd700"",
      ""#7900ff"",
      ""#ff2262"",
      ""#3d3d3d"",
      ""#aaaaaa""
    ))
  }
)
"),"")</f>
        <v/>
      </c>
      <c r="I20" s="62"/>
      <c r="J20" s="62"/>
      <c r="K20" s="62"/>
      <c r="L20" s="62"/>
      <c r="M20" s="119">
        <f>IFERROR(__xludf.DUMMYFUNCTION("""COMPUTED_VALUE"""),530.0)</f>
        <v>530</v>
      </c>
      <c r="N20" s="120">
        <f>IFERROR(__xludf.DUMMYFUNCTION("""COMPUTED_VALUE"""),580.0)</f>
        <v>580</v>
      </c>
      <c r="O20" s="121">
        <f>IFERROR(__xludf.DUMMYFUNCTION("""COMPUTED_VALUE"""),630.0)</f>
        <v>630</v>
      </c>
      <c r="P20" s="19">
        <f>IFERROR(__xludf.DUMMYFUNCTION("""COMPUTED_VALUE"""),670.0)</f>
        <v>670</v>
      </c>
    </row>
    <row r="21" ht="26.25" customHeight="1">
      <c r="A21" s="99" t="s">
        <v>44</v>
      </c>
      <c r="G21" s="123" t="str">
        <f>IFERROR(__xludf.DUMMYFUNCTION("if(importrange(""https://docs.google.com/spreadsheets/d/1JxRnDKurkxZO94D2V46kmGWozPF7dbOpsMfWZL85LvU"", ""Changelog!A2:A2"")=indirect(""Changelog!A2""), concatenate(""Sheet Version: "", Changelog!A2), hyperlink(""https://docs.google.com/spreadsheets/d/1Jx"&amp;"RnDKurkxZO94D2V46kmGWozPF7dbOpsMfWZL85LvU"", ""Outdated version, click link &amp; make a new copy!""))"),"Sheet Version: 1.0.7")</f>
        <v>Sheet Version: 1.0.7</v>
      </c>
      <c r="N21" s="101" t="str">
        <f>HYPERLINK("https://voltaic.gg/", "Website↗")</f>
        <v>Website↗</v>
      </c>
      <c r="O21" s="101" t="str">
        <f>HYPERLINK("http://discord.gg/voltaic","Discord↗")</f>
        <v>Discord↗</v>
      </c>
      <c r="P21" s="101" t="str">
        <f>HYPERLINK("http://twitter.com/voltaichq","Twitter↗")</f>
        <v>Twitter↗</v>
      </c>
    </row>
    <row r="22" ht="26.25" customHeight="1">
      <c r="A22" s="124" t="s">
        <v>52</v>
      </c>
    </row>
    <row r="23" ht="26.25" customHeight="1">
      <c r="A23" s="103" t="s">
        <v>53</v>
      </c>
      <c r="N23" s="101" t="str">
        <f>HYPERLINK("https://www.youtube.com/voltaichq","YouTube↗")</f>
        <v>YouTube↗</v>
      </c>
      <c r="O23" s="101" t="str">
        <f>HYPERLINK("https://bit.ly/VTxKvKsGuide","Guide↗")</f>
        <v>Guide↗</v>
      </c>
      <c r="P23" s="101" t="str">
        <f>HYPERLINK("https://docs.google.com/document/d/1omExq_y4ld9vkvbTFkLdjlT5UwQpvYSgyk5PgA7nrzM/edit?usp=sharing","Rules↗")</f>
        <v>Rules↗</v>
      </c>
    </row>
    <row r="24" ht="26.25" customHeight="1"/>
  </sheetData>
  <mergeCells count="34">
    <mergeCell ref="H7:H8"/>
    <mergeCell ref="H9:H10"/>
    <mergeCell ref="H11:H12"/>
    <mergeCell ref="H13:H14"/>
    <mergeCell ref="H15:H16"/>
    <mergeCell ref="H17:H18"/>
    <mergeCell ref="H19:H20"/>
    <mergeCell ref="A1:C1"/>
    <mergeCell ref="E1:G1"/>
    <mergeCell ref="I1:K1"/>
    <mergeCell ref="A3:A8"/>
    <mergeCell ref="B3:B4"/>
    <mergeCell ref="H3:H4"/>
    <mergeCell ref="H5:H6"/>
    <mergeCell ref="B5:B6"/>
    <mergeCell ref="B7:B8"/>
    <mergeCell ref="A9:A14"/>
    <mergeCell ref="B9:B10"/>
    <mergeCell ref="B11:B12"/>
    <mergeCell ref="B13:B14"/>
    <mergeCell ref="A15:A20"/>
    <mergeCell ref="B19:B20"/>
    <mergeCell ref="A22:F22"/>
    <mergeCell ref="A23:M24"/>
    <mergeCell ref="N23:N24"/>
    <mergeCell ref="O23:O24"/>
    <mergeCell ref="P23:P24"/>
    <mergeCell ref="B15:B16"/>
    <mergeCell ref="B17:B18"/>
    <mergeCell ref="A21:F21"/>
    <mergeCell ref="G21:M22"/>
    <mergeCell ref="N21:N22"/>
    <mergeCell ref="O21:O22"/>
    <mergeCell ref="P21:P22"/>
  </mergeCells>
  <conditionalFormatting sqref="E3:E20">
    <cfRule type="expression" dxfId="29" priority="1">
      <formula>ARRAYFORMULA(F3:F18&gt;=$P3:P18)</formula>
    </cfRule>
  </conditionalFormatting>
  <conditionalFormatting sqref="E3:E20">
    <cfRule type="expression" dxfId="30" priority="2">
      <formula>ARRAYFORMULA(F3:F18&gt;=$O3:O18)</formula>
    </cfRule>
  </conditionalFormatting>
  <conditionalFormatting sqref="E3:E20">
    <cfRule type="expression" dxfId="31" priority="3">
      <formula>ARRAYFORMULA(F3:F18&gt;=$N3:N18)</formula>
    </cfRule>
  </conditionalFormatting>
  <conditionalFormatting sqref="E3:E20">
    <cfRule type="expression" dxfId="32" priority="4">
      <formula>ARRAYFORMULA(F3:F18&gt;=$M3:M18)</formula>
    </cfRule>
  </conditionalFormatting>
  <conditionalFormatting sqref="E1">
    <cfRule type="beginsWith" dxfId="33" priority="5" operator="beginsWith" text="Celestial">
      <formula>LEFT((E1),LEN("Celestial"))=("Celestial")</formula>
    </cfRule>
  </conditionalFormatting>
  <conditionalFormatting sqref="E1">
    <cfRule type="beginsWith" dxfId="34" priority="6" operator="beginsWith" text="Astra">
      <formula>LEFT((E1),LEN("Astra"))=("Astra")</formula>
    </cfRule>
  </conditionalFormatting>
  <conditionalFormatting sqref="E1">
    <cfRule type="beginsWith" dxfId="35" priority="7" operator="beginsWith" text="Nova">
      <formula>LEFT((E1),LEN("Nova"))=("Nova")</formula>
    </cfRule>
  </conditionalFormatting>
  <conditionalFormatting sqref="E1">
    <cfRule type="beginsWith" dxfId="36" priority="8" operator="beginsWith" text="Grandmaster">
      <formula>LEFT((E1),LEN("Grandmaster"))=("Grandmaster")</formula>
    </cfRule>
  </conditionalFormatting>
  <conditionalFormatting sqref="E1">
    <cfRule type="beginsWith" dxfId="6" priority="9" operator="beginsWith" text="Unranked">
      <formula>LEFT((E1),LEN("Unranked"))=("Unranked")</formula>
    </cfRule>
  </conditionalFormatting>
  <conditionalFormatting sqref="H3:L20">
    <cfRule type="expression" dxfId="37" priority="10">
      <formula>ARRAYFORMULA(H3:H18&gt;=$P$2)</formula>
    </cfRule>
  </conditionalFormatting>
  <conditionalFormatting sqref="H3:L20">
    <cfRule type="expression" dxfId="38" priority="11">
      <formula>ARRAYFORMULA(H3:H18&gt;=$O$2)</formula>
    </cfRule>
  </conditionalFormatting>
  <conditionalFormatting sqref="H3:L20">
    <cfRule type="expression" dxfId="39" priority="12">
      <formula>ARRAYFORMULA(H3:H18&gt;=$N$2)</formula>
    </cfRule>
  </conditionalFormatting>
  <conditionalFormatting sqref="H3:L20">
    <cfRule type="expression" dxfId="40" priority="13">
      <formula>ARRAYFORMULA(H3:H18&gt;=$M$2)</formula>
    </cfRule>
  </conditionalFormatting>
  <conditionalFormatting sqref="F3:F20">
    <cfRule type="expression" dxfId="41" priority="14">
      <formula>ARRAYFORMULA(F3:F18&gt;=$P3:P18)</formula>
    </cfRule>
  </conditionalFormatting>
  <conditionalFormatting sqref="F3:F20">
    <cfRule type="expression" dxfId="42" priority="15">
      <formula>ARRAYFORMULA(F3:F18&gt;=$O3:O18)</formula>
    </cfRule>
  </conditionalFormatting>
  <conditionalFormatting sqref="F3:F20">
    <cfRule type="expression" dxfId="43" priority="16">
      <formula>ARRAYFORMULA(F3:F18&gt;=$N3:N18)</formula>
    </cfRule>
  </conditionalFormatting>
  <conditionalFormatting sqref="F3:F20">
    <cfRule type="expression" dxfId="44" priority="17">
      <formula>ARRAYFORMULA(F3:F18&gt;=$M3:M18)</formula>
    </cfRule>
  </conditionalFormatting>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A23"/>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1AA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0"/>
  </cols>
  <sheetData>
    <row r="1">
      <c r="A1" s="125" t="str">
        <f>IFERROR(__xludf.DUMMYFUNCTION("importrange(""https://docs.google.com/spreadsheets/d/1JxRnDKurkxZO94D2V46kmGWozPF7dbOpsMfWZL85LvU"", ""Changelog!A1:C20"")"),"Version")</f>
        <v>Version</v>
      </c>
      <c r="B1" s="125" t="str">
        <f>IFERROR(__xludf.DUMMYFUNCTION("""COMPUTED_VALUE"""),"Date")</f>
        <v>Date</v>
      </c>
      <c r="C1" s="125" t="str">
        <f>IFERROR(__xludf.DUMMYFUNCTION("""COMPUTED_VALUE"""),"Description")</f>
        <v>Description</v>
      </c>
    </row>
    <row r="2">
      <c r="A2" s="126" t="str">
        <f>IFERROR(__xludf.DUMMYFUNCTION("""COMPUTED_VALUE"""),"1.0.7")</f>
        <v>1.0.7</v>
      </c>
      <c r="B2" s="127" t="str">
        <f>IFERROR(__xludf.DUMMYFUNCTION("""COMPUTED_VALUE"""),"March-27th-2025")</f>
        <v>March-27th-2025</v>
      </c>
      <c r="C2" s="126" t="str">
        <f>IFERROR(__xludf.DUMMYFUNCTION("""COMPUTED_VALUE"""),"- Advanced Score Reqs - 
BUFFS:
- VT 1w2ts Advanced S5:           1310 / 1410 / 1510 / 1620  -&gt;  1320 / 1420 / 1520 / 1620
- VT Frogtagon Advanced S5:       1090 / 1200 / 1350 / 1480  -&gt;  1090 / 1220 / 1360 / 1490
- VT PGT Advanced S5:             2700 / "&amp;"3100 / 3475 / 3825  -&gt;  2750 / 3175 / 3625 / 4050
- VT Snake Track Advanced S5:     2975 / 3300 / 3600 / 3875  -&gt;  3050 / 3425 / 3725 / 4050
- VT EddieTS Advanced S5:         1010 / 1120 / 1190 / 1270  -&gt;  1020 / 1120 / 1200 / 1280
- VT FlyTS Advanced S5:"&amp;"           520  / 580  / 640  / 700   -&gt;  540  / 600  / 660  / 720
NERFS:
- VT Pasu Advanced S5:            910  / 1020 / 1130 / 1250  -&gt;  910  / 1020 / 1110 / 1240
- VT Popcorn Advanced S5:         680  / 810  / 920  / 1030  -&gt;  680  / 800  / 910  / 102"&amp;"0
- VT ww5t Advanced S5:            1510 / 1620 / 1740 / 1880  -&gt;  1510 / 1610 / 1720 / 1860
- VT Floating Heads Advanced S5:  740  / 840  / 950  / 1060  -&gt;  740  / 830  / 920  / 1050
- VT DotTS Advanced S5:           1280 / 1360 / 1440 / 1520  -&gt;  1280 /"&amp;" 1360 / 1420 / 1500
- VT ControlTS Advanced S5:       450  / 490  / 530  / 560   -&gt;  450  / 490  / 520  / 550
 - Intermediate Score Reqs - 
BUFFS:
- VT PGT Intermediate S5:            2150 / 2550 / 2925 / 3200  -&gt;  2275 / 2675 / 3050 / 3325
- VT Snake T"&amp;"rack Intermediate S5:  2775 / 3175 / 3500 / 3750  -&gt;  2800 / 3175 / 3500 / 3750
- VT FlyTS Intermediate S5:            500  / 560  / 610  / 650   -&gt;  520  / 570  / 610  / 650
 - Novice Score Reqs - 
BUFFS:
- VT PGT Novice S5:               1425 / 1900 /"&amp;" 2375 / 2950  -&gt;  1900 / 2325 / 2775 / 3050
- VT Snake Track Novice S5:       2400 / 2750 / 3050 / 3375  -&gt;  2400 / 2750 / 3125 / 3425
- VT FlyTS Novice S5:             390  / 450  / 510  / 560   -&gt;  420  / 460  / 500  / 535")</f>
        <v>- Advanced Score Reqs - 
BUFFS:
- VT 1w2ts Advanced S5:           1310 / 1410 / 1510 / 1620  -&gt;  1320 / 1420 / 1520 / 1620
- VT Frogtagon Advanced S5:       1090 / 1200 / 1350 / 1480  -&gt;  1090 / 1220 / 1360 / 1490
- VT PGT Advanced S5:             2700 / 3100 / 3475 / 3825  -&gt;  2750 / 3175 / 3625 / 4050
- VT Snake Track Advanced S5:     2975 / 3300 / 3600 / 3875  -&gt;  3050 / 3425 / 3725 / 4050
- VT EddieTS Advanced S5:         1010 / 1120 / 1190 / 1270  -&gt;  1020 / 1120 / 1200 / 1280
- VT FlyTS Advanced S5:           520  / 580  / 640  / 700   -&gt;  540  / 600  / 660  / 720
NERFS:
- VT Pasu Advanced S5:            910  / 1020 / 1130 / 1250  -&gt;  910  / 1020 / 1110 / 1240
- VT Popcorn Advanced S5:         680  / 810  / 920  / 1030  -&gt;  680  / 800  / 910  / 1020
- VT ww5t Advanced S5:            1510 / 1620 / 1740 / 1880  -&gt;  1510 / 1610 / 1720 / 1860
- VT Floating Heads Advanced S5:  740  / 840  / 950  / 1060  -&gt;  740  / 830  / 920  / 1050
- VT DotTS Advanced S5:           1280 / 1360 / 1440 / 1520  -&gt;  1280 / 1360 / 1420 / 1500
- VT ControlTS Advanced S5:       450  / 490  / 530  / 560   -&gt;  450  / 490  / 520  / 550
 - Intermediate Score Reqs - 
BUFFS:
- VT PGT Intermediate S5:            2150 / 2550 / 2925 / 3200  -&gt;  2275 / 2675 / 3050 / 3325
- VT Snake Track Intermediate S5:  2775 / 3175 / 3500 / 3750  -&gt;  2800 / 3175 / 3500 / 3750
- VT FlyTS Intermediate S5:            500  / 560  / 610  / 650   -&gt;  520  / 570  / 610  / 650
 - Novice Score Reqs - 
BUFFS:
- VT PGT Novice S5:               1425 / 1900 / 2375 / 2950  -&gt;  1900 / 2325 / 2775 / 3050
- VT Snake Track Novice S5:       2400 / 2750 / 3050 / 3375  -&gt;  2400 / 2750 / 3125 / 3425
- VT FlyTS Novice S5:             390  / 450  / 510  / 560   -&gt;  420  / 460  / 500  / 535</v>
      </c>
    </row>
    <row r="3">
      <c r="A3" s="126" t="str">
        <f>IFERROR(__xludf.DUMMYFUNCTION("""COMPUTED_VALUE"""),"1.0.6")</f>
        <v>1.0.6</v>
      </c>
      <c r="B3" s="127" t="str">
        <f>IFERROR(__xludf.DUMMYFUNCTION("""COMPUTED_VALUE"""),"March-13th-2025")</f>
        <v>March-13th-2025</v>
      </c>
      <c r="C3" s="126" t="str">
        <f>IFERROR(__xludf.DUMMYFUNCTION("""COMPUTED_VALUE"""),"- Reworked Scenarios - 
VT PGT Advanced S5
VT PGT Intermediate S5
VT PGT Novice S5
VT Snake Track Advanced S5
VT Snake Track Intermediate S5
VT Snake Track Novice S5
VT FlyTS Advanced S5
VT FlyTS Intermediate S5
VT FlyTS Novice S5
VT DotTS Advanced S5
- "&amp;"Advanced Score Reqs - 
BUFFS:
- VT Pasu Advanced S5:           900  / 1020 / 1130 / 1250  -&gt;  910  / 1020 / 1130 / 1250
- VT Popcorn Advanced S5:        670  / 790  / 890  / 980   -&gt;  680  / 810  / 920  / 1030
- VT Ground Advanced S5:         2875 / 3175 "&amp;"/ 3475 / 3725  -&gt;  2875 / 3200 / 3500 / 3725
- VT Raw Control Advanced S5:    3150 / 3500 / 3850 / 4200  -&gt;  3150 / 3550 / 3875 / 4250
- VT Penta Bounce Advanced S5:   530  / 580  / 620  / 670   -&gt;  530  / 580  / 630  / 670
NERFS:
- VT ww5t Advanced S5: "&amp;"          1520 / 1630 / 1740 / 1880  -&gt;  1510 / 1620 / 1740 / 1880
- VT Frogtagon Advanced S5:      1100 / 1230 / 1370 / 1500  -&gt;  1090 / 1200 / 1350 / 1480
- VT Floating Heads Advanced S5: 740  / 850  / 960  / 1070  -&gt;  740  / 840  / 950  / 1060
- VT Con"&amp;"trolsphere Advanced S5:  3125 / 3475 / 3825 / 4150  -&gt;  3100 / 3475 / 3800 / 4125
- VT EddieTS Advanced S5:        1030 / 1130 / 1210 / 1290  -&gt;  1010 / 1120 / 1190 / 1270
- VT DriftTS Advanced S5:        440  / 480  / 510  / 540   -&gt;  430  / 470  / 510  "&amp;"/ 540
MIXED:
- VT Aether Advanced S5:         2800 / 3150 / 3475 / 3725  -&gt;  2750 / 3175 / 3525 / 3825
REWORKED:
- VT PGT Advanced S5:            2700 / 3100 / 3475 / 3825
- VT Snake Track Advanced S5:    2975 / 3300 / 3600 / 3875
- VT DotTS Advanced S5"&amp;":          1280 / 1360 / 1440 / 1520
- VT FlyTS Advanced S5:          520  / 580  / 640  / 700
 - Intermediate Score Reqs - 
BUFFS:
- VT Pasu Intermediate S5:           760  / 840  / 910  / 970   -&gt;  770  / 850  / 930  / 980
- VT Ground Intermediate S5:"&amp;"         2525 / 2850 / 3100 / 3350  -&gt;  2550 / 2850 / 3100 / 3350
- VT DotTS Intermediate S5:          1110 / 1170 / 1230 / 1270  -&gt;  1110 / 1180 / 1230 / 1280
NERFS:
- VT 1w3ts Intermediate S5:          1120 / 1220 / 1310 / 1390  -&gt;  1120 / 1220 / 1300 "&amp;"/ 1380
- VT ww5t Intermediate S5:           1310 / 1400 / 1490 / 1570  -&gt;  1310 / 1400 / 1490 / 1560
- VT EddieTS Intermediate S5:        900  / 960  / 1020 / 1080  -&gt;  880  / 950  / 1020 / 1080
- VT ControlTS Intermediate S5:      430  / 460  / 490  / 52"&amp;"0   -&gt;  420  / 460  / 485  / 520
- VT Penta Bounce Intermediate S5:   450  / 500  / 540  / 590   -&gt;  450  / 490  / 540  / 580
REWORKED:
- VT PGT Intermediate S5:            2150 / 2550 / 2925 / 3200
- VT Snake Track Intermediate S5:    2775 / 3175 / 3500"&amp;" / 3750
- VT FlyTS Intermediate S5:          500  / 560  / 610  / 650
 - Novice Score Reqs - 
BUFFS:
- VT Pasu Novice S5:           555  / 650  / 745  / 795   -&gt;  555  / 660  / 745  / 800
NERFS:
- VT Raw Control Novice S5:    2125 / 2575 / 2975 / 3450 "&amp;" -&gt;  2125 / 2550 / 2975 / 3450
- VT Controlsphere Novice S5:  1575 / 1975 / 2400 / 2900  -&gt;  1575 / 1950 / 2400 / 2900
- VT EddieTS Novice S5:        650  / 730  / 810  / 900   -&gt;  640  / 730  / 810  / 890
- VT DriftTS Novice S5:        315  / 355  / 390 "&amp;" / 435   -&gt;  315  / 355  / 390  / 430
- VT Penta Bounce Novice S5:   290  / 340  / 390  / 450   -&gt;  290  / 340  / 390  / 445
MIXED:
- VT 1w4ts Novice S5:          810  / 915  / 1010 / 1120  -&gt;  820  / 915  / 1010 / 1110
REWORKED:
- VT PGT Novice S5:    "&amp;"        1425 / 1900 / 2375 / 2950
- VT Snake Track Novice S5:    2400 / 2750 / 3050 / 3375
- VT FlyTS Novice S5:          390  / 450  / 510  / 560")</f>
        <v>- Reworked Scenarios - 
VT PGT Advanced S5
VT PGT Intermediate S5
VT PGT Novice S5
VT Snake Track Advanced S5
VT Snake Track Intermediate S5
VT Snake Track Novice S5
VT FlyTS Advanced S5
VT FlyTS Intermediate S5
VT FlyTS Novice S5
VT DotTS Advanced S5
- Advanced Score Reqs - 
BUFFS:
- VT Pasu Advanced S5:           900  / 1020 / 1130 / 1250  -&gt;  910  / 1020 / 1130 / 1250
- VT Popcorn Advanced S5:        670  / 790  / 890  / 980   -&gt;  680  / 810  / 920  / 1030
- VT Ground Advanced S5:         2875 / 3175 / 3475 / 3725  -&gt;  2875 / 3200 / 3500 / 3725
- VT Raw Control Advanced S5:    3150 / 3500 / 3850 / 4200  -&gt;  3150 / 3550 / 3875 / 4250
- VT Penta Bounce Advanced S5:   530  / 580  / 620  / 670   -&gt;  530  / 580  / 630  / 670
NERFS:
- VT ww5t Advanced S5:           1520 / 1630 / 1740 / 1880  -&gt;  1510 / 1620 / 1740 / 1880
- VT Frogtagon Advanced S5:      1100 / 1230 / 1370 / 1500  -&gt;  1090 / 1200 / 1350 / 1480
- VT Floating Heads Advanced S5: 740  / 850  / 960  / 1070  -&gt;  740  / 840  / 950  / 1060
- VT Controlsphere Advanced S5:  3125 / 3475 / 3825 / 4150  -&gt;  3100 / 3475 / 3800 / 4125
- VT EddieTS Advanced S5:        1030 / 1130 / 1210 / 1290  -&gt;  1010 / 1120 / 1190 / 1270
- VT DriftTS Advanced S5:        440  / 480  / 510  / 540   -&gt;  430  / 470  / 510  / 540
MIXED:
- VT Aether Advanced S5:         2800 / 3150 / 3475 / 3725  -&gt;  2750 / 3175 / 3525 / 3825
REWORKED:
- VT PGT Advanced S5:            2700 / 3100 / 3475 / 3825
- VT Snake Track Advanced S5:    2975 / 3300 / 3600 / 3875
- VT DotTS Advanced S5:          1280 / 1360 / 1440 / 1520
- VT FlyTS Advanced S5:          520  / 580  / 640  / 700
 - Intermediate Score Reqs - 
BUFFS:
- VT Pasu Intermediate S5:           760  / 840  / 910  / 970   -&gt;  770  / 850  / 930  / 980
- VT Ground Intermediate S5:         2525 / 2850 / 3100 / 3350  -&gt;  2550 / 2850 / 3100 / 3350
- VT DotTS Intermediate S5:          1110 / 1170 / 1230 / 1270  -&gt;  1110 / 1180 / 1230 / 1280
NERFS:
- VT 1w3ts Intermediate S5:          1120 / 1220 / 1310 / 1390  -&gt;  1120 / 1220 / 1300 / 1380
- VT ww5t Intermediate S5:           1310 / 1400 / 1490 / 1570  -&gt;  1310 / 1400 / 1490 / 1560
- VT EddieTS Intermediate S5:        900  / 960  / 1020 / 1080  -&gt;  880  / 950  / 1020 / 1080
- VT ControlTS Intermediate S5:      430  / 460  / 490  / 520   -&gt;  420  / 460  / 485  / 520
- VT Penta Bounce Intermediate S5:   450  / 500  / 540  / 590   -&gt;  450  / 490  / 540  / 580
REWORKED:
- VT PGT Intermediate S5:            2150 / 2550 / 2925 / 3200
- VT Snake Track Intermediate S5:    2775 / 3175 / 3500 / 3750
- VT FlyTS Intermediate S5:          500  / 560  / 610  / 650
 - Novice Score Reqs - 
BUFFS:
- VT Pasu Novice S5:           555  / 650  / 745  / 795   -&gt;  555  / 660  / 745  / 800
NERFS:
- VT Raw Control Novice S5:    2125 / 2575 / 2975 / 3450  -&gt;  2125 / 2550 / 2975 / 3450
- VT Controlsphere Novice S5:  1575 / 1975 / 2400 / 2900  -&gt;  1575 / 1950 / 2400 / 2900
- VT EddieTS Novice S5:        650  / 730  / 810  / 900   -&gt;  640  / 730  / 810  / 890
- VT DriftTS Novice S5:        315  / 355  / 390  / 435   -&gt;  315  / 355  / 390  / 430
- VT Penta Bounce Novice S5:   290  / 340  / 390  / 450   -&gt;  290  / 340  / 390  / 445
MIXED:
- VT 1w4ts Novice S5:          810  / 915  / 1010 / 1120  -&gt;  820  / 915  / 1010 / 1110
REWORKED:
- VT PGT Novice S5:            1425 / 1900 / 2375 / 2950
- VT Snake Track Novice S5:    2400 / 2750 / 3050 / 3375
- VT FlyTS Novice S5:          390  / 450  / 510  / 560</v>
      </c>
    </row>
    <row r="4">
      <c r="A4" s="126" t="str">
        <f>IFERROR(__xludf.DUMMYFUNCTION("""COMPUTED_VALUE"""),"1.0.5")</f>
        <v>1.0.5</v>
      </c>
      <c r="B4" s="127" t="str">
        <f>IFERROR(__xludf.DUMMYFUNCTION("""COMPUTED_VALUE"""),"Jan-22nd-2025")</f>
        <v>Jan-22nd-2025</v>
      </c>
      <c r="C4" s="126" t="str">
        <f>IFERROR(__xludf.DUMMYFUNCTION("""COMPUTED_VALUE""")," - Novice Score Reqs -
- VT Pasu Novice S5:           630  / 690  / 740  / 790   -&gt;  555  / 650  / 745  / 795
- VT Popcorn Novice S5:        480  / 570  / 640  / 720   -&gt;  390  / 500  / 600  / 720
- VT 1w4ts Novice S5:          900  / 980  / 1050 / 1130 "&amp;" -&gt;  810  / 915  / 1010 / 1120
- VT ww5t Novice S5:           1080 / 1160 / 1230 / 1310  -&gt;  990  / 1090 / 1190 / 1290
- VT Frogtagon Novice S5:      730  / 810  / 900  / 990   -&gt;  620  / 740  / 850  / 980
- VT Floating Heads Novice S5: 450  / 520  / 580 "&amp;" / 650   -&gt;  375  / 460  / 540  / 640
- VT PGT Novice S5:            1875 / 2200 / 2500 / 2800  -&gt;  1500 / 1900 / 2300 / 2775
- VT Snake Track Novice S5:    2750 / 2975 / 3175 / 3375  -&gt;  2475 / 2825 / 3100 / 3375
- VT Aether Novice S5:         1900 / 217"&amp;"5 / 2425 / 2750  -&gt;  1525 / 1900 / 2250 / 2650
- VT Ground Novice S5:         2500 / 2750 / 2950 / 3100  -&gt;  2100 / 2500 / 2825 / 3100
- VT Raw Control Novice S5:    2550 / 2900 / 3200 / 3550  -&gt;  2125 / 2575 / 2975 / 3450
- VT Controlsphere Novice S5:  2"&amp;"000 / 2325 / 2625 / 2975  -&gt;  1575 / 1975 / 2400 / 2900
- VT DotTS Novice S5:          950  / 1010 / 1060 / 1100  -&gt;  845  / 940  / 1030 / 1090
- VT EddieTS Novice S5:        740  / 810  / 870  / 920   -&gt;  650  / 730  / 810  / 900
- VT DriftTS Novice S5: "&amp;"       360  / 390  / 420  / 44    -&gt;  315  / 355  / 390  / 435
- VT FlyTS Novice S5:          430  / 460  / 490  / 510   -&gt;  395  / 430  / 475  / 505
- VT ControlTS Novice S5:      390  / 410  / 440  / 460   -&gt;  340  / 380  / 420  / 450
- VT Penta Bounce "&amp;"Novice S5:   350  / 380  / 420  / 460   -&gt;  290  / 340  / 390  / 450")</f>
        <v> - Novice Score Reqs -
- VT Pasu Novice S5:           630  / 690  / 740  / 790   -&gt;  555  / 650  / 745  / 795
- VT Popcorn Novice S5:        480  / 570  / 640  / 720   -&gt;  390  / 500  / 600  / 720
- VT 1w4ts Novice S5:          900  / 980  / 1050 / 1130  -&gt;  810  / 915  / 1010 / 1120
- VT ww5t Novice S5:           1080 / 1160 / 1230 / 1310  -&gt;  990  / 1090 / 1190 / 1290
- VT Frogtagon Novice S5:      730  / 810  / 900  / 990   -&gt;  620  / 740  / 850  / 980
- VT Floating Heads Novice S5: 450  / 520  / 580  / 650   -&gt;  375  / 460  / 540  / 640
- VT PGT Novice S5:            1875 / 2200 / 2500 / 2800  -&gt;  1500 / 1900 / 2300 / 2775
- VT Snake Track Novice S5:    2750 / 2975 / 3175 / 3375  -&gt;  2475 / 2825 / 3100 / 3375
- VT Aether Novice S5:         1900 / 2175 / 2425 / 2750  -&gt;  1525 / 1900 / 2250 / 2650
- VT Ground Novice S5:         2500 / 2750 / 2950 / 3100  -&gt;  2100 / 2500 / 2825 / 3100
- VT Raw Control Novice S5:    2550 / 2900 / 3200 / 3550  -&gt;  2125 / 2575 / 2975 / 3450
- VT Controlsphere Novice S5:  2000 / 2325 / 2625 / 2975  -&gt;  1575 / 1975 / 2400 / 2900
- VT DotTS Novice S5:          950  / 1010 / 1060 / 1100  -&gt;  845  / 940  / 1030 / 1090
- VT EddieTS Novice S5:        740  / 810  / 870  / 920   -&gt;  650  / 730  / 810  / 900
- VT DriftTS Novice S5:        360  / 390  / 420  / 44    -&gt;  315  / 355  / 390  / 435
- VT FlyTS Novice S5:          430  / 460  / 490  / 510   -&gt;  395  / 430  / 475  / 505
- VT ControlTS Novice S5:      390  / 410  / 440  / 460   -&gt;  340  / 380  / 420  / 450
- VT Penta Bounce Novice S5:   350  / 380  / 420  / 460   -&gt;  290  / 340  / 390  / 450</v>
      </c>
    </row>
    <row r="5">
      <c r="A5" s="126" t="str">
        <f>IFERROR(__xludf.DUMMYFUNCTION("""COMPUTED_VALUE"""),"1.0.4")</f>
        <v>1.0.4</v>
      </c>
      <c r="B5" s="127" t="str">
        <f>IFERROR(__xludf.DUMMYFUNCTION("""COMPUTED_VALUE"""),"Jan-8th-2025")</f>
        <v>Jan-8th-2025</v>
      </c>
      <c r="C5" s="126" t="str">
        <f>IFERROR(__xludf.DUMMYFUNCTION("""COMPUTED_VALUE""")," - Advanced Score Reqs -
BUFFS:
- VT PGT Advanced S5:      2600 / 3000 / 3350 / 3600  -&gt;  2875 / 3300 / 3650 / 3950
- VT Snake Track Advanced S5:      2850 / 3200 / 3550 / 3850  -&gt;  3025 / 3325 / 3600 / 3850
- VT Raw Control Advanced S5:      3100 / 3450"&amp;" / 3750 / 4000  -&gt;  3150 / 3500 / 3850 / 4200
- VT Controlsphere Advanced S5:      3100 / 3450 / 3750 / 4000  -&gt;  3125 / 3475 / 3825 / 4150
- VT DotTS Advanced S5:      1220 / 1290 / 1350 / 1400  -&gt;  1230 / 1290 / 1350 / 1400
- VT Penta Bounce Advanced S5"&amp;":      530  / 570  / 620  / 670   -&gt;  530  / 580  / 620  / 670
NERFS:
- VT Popcorn Advanced S5:      720  / 820  / 910  / 980   -&gt;  670  / 790  / 890  / 980
- VT 1w2ts Advanced S5:      1340 / 1450 / 1540 / 1620  -&gt;  1310 / 1410 / 1510 / 1620
- VT ww5t A"&amp;"dvanced S5:      1550 / 1670 / 1780 / 1880  -&gt;  1520 / 1630 / 1740 / 1880
- VT Frogtagon Advanced S5:      1170 / 1300 / 1520 / 1520  -&gt;  1100 / 1230 / 1370 / 1880
- VT Floating Heads Advanced S5:     760  / 880  / 990  / 1070  -&gt;  740  / 850  / 960  / 10"&amp;"70
- VT Aether Advanced S5:      2900 / 3225 / 3500 / 3750  -&gt;  2800 / 3150 / 3475 / 3725
- VT DriftTS Advanced S5:      450  / 480  / 510  / 540   -&gt;  440  / 480  / 510  / 540
- VT FlyTS Advanced S5:      480  / 520  / 570  / 620   -&gt;  480  / 520  / 570 "&amp;" / 600
- VT ControlTS Advanced S5:      480  / 510  / 540  / 570   -&gt;  450  / 490  / 530  / 560
MIXED:
- VT Pasu Advanced S5:      880  / 1030 / 1150 / 1250  -&gt;  900  / 1020 / 1130 / 1250 
- VT Ground Advanced S5:      2850 / 3200 / 3500 / 3750  -&gt;  2875"&amp;" / 3175 / 3475 / 3725
- VT EddieTS Advanced S5:      1080 / 1150 / 1220 / 1280  -&gt;  1030 / 1130 / 1210 / 1290
 - Intermediate Score Reqs -
BUFFS:
- VT Pasu Intermediate S5:      660  / 760  / 850  / 940   -&gt;  760  / 840  / 910  / 970
- VT Snake Track In"&amp;"termediate S5:    2750 / 3150 / 3425 / 3675  -&gt;  2850 / 3200 / 3500 / 3725
- VT Ground Intermediate S5:      2450 / 2750 / 3050 / 3350  -&gt;  2525 / 2850 / 3100 / 3350
- VT DotTS Intermediate S5:      1060 / 1140 / 1210 / 1260  -&gt;  1110 / 1170 / 1230 / 1270"&amp;"
- VT FlyTS Intermediate S5:      450  / 490  / 530  / 570   -&gt;  470  / 510  / 540  / 570
NERFS:
- VT Popcorn Intermediate S5:      640  / 730  / 810  / 880   -&gt;  600  / 690  / 780  / 860
- VT 1w3ts Intermediate S5:      1140 / 1230 / 1340 / 1430  -&gt;  11"&amp;"20 / 1220 / 1310 / 1390
- VT Frogtagon Intermediate S5:      980  / 1090 / 1190 / 1280  -&gt;  940  / 1040 / 1140 / 1230
- VT Floating Heads Intermediate S5: 640  / 740  / 820  / 890   -&gt;  610  / 690  / 770  / 860
- VT Aether Intermediate S5:      2450 / 275"&amp;"0 / 3050 / 3350  -&gt;  2175 / 2550 / 2900 / 3175
- VT Raw Control Intermediate S5:    3000 / 3300 / 3600 / 3900  -&gt;  2775 / 3200 / 3550 / 3875
- VT EddieTS Intermediate S5:      910  / 970  / 1030 / 1080  -&gt;  900  / 960  / 1020 / 1080
- VT DriftTS Intermedi"&amp;"ate S5:      420  / 450  / 480  / 510   -&gt;  390  / 430  / 460  / 490
- VT Penta Bounce Intermediate S5:   460  / 510  / 550  / 590   -&gt;  450  / 500  / 540  / 590
MIXED:
- VT ww5t Intermediate S5:      1300 / 1410 / 1500 / 1580  -&gt;  1310 / 1400 / 1490 / 1"&amp;"570
- VT PGT Intermediate S5:      2400 / 2750 / 3050 / 3300  -&gt;  2375 / 2750 / 3100 / 3375
- VT Controlsphere Intermediate S5:  2900 / 3200 / 3500 / 3800  -&gt;  2750 / 3175 / 3525 / 3825
- VT ControlTS Intermediate S5:      420  / 460  / 500  / 540   -&gt;  4"&amp;"30  / 460  / 490  / 520
 - Novice Score Reqs -
BUFFS:
- VT Pasu Novice S5:      520  / 600  / 670  / 740   -&gt;  630  / 690  / 740  / 790
- VT ww5t Novice S5:     1110 / 1200 / 1280 / 1350  -&gt;  1080 / 1160 / 1230 / 1310
- VT Snake Track Novice S5:     225"&amp;"0 / 2500 / 2700 / 2900  -&gt;  2750 / 2975 / 3175 / 3375
- VT Ground Novice S5:      2000 / 2275 / 2550 / 2800  -&gt;  2500 / 2750 / 2950 / 3100
- VT DotTS Novice S5:      910  / 970  / 1020 / 1060  -&gt;  950  / 1010 / 1060 / 1100
- VT FlyTS Novice S5:      360  "&amp;"/ 400  / 440  / 470   -&gt;  430  / 460  / 490  / 510
- VT ControlTS Novice S5:     320  / 360  / 400  / 440   -&gt;  390  / 410  / 440  / 460
NERFS:
- VT 1w4ts Novice S5:      930  / 1020 / 1100 / 1170  -&gt;  900  / 980  / 1050 / 1130
- VT Frogtagon Novice S5: "&amp;"    760  / 850  / 930  / 1000  -&gt;  730  / 810  / 900  / 990
- VT Floating Heads Novice S5:     500  / 570  / 640  / 700   -&gt;  450  / 520  / 580  / 650
- VT Aether Novice S5:      2100 / 2425 / 2700 / 2950  -&gt;  1900 / 2175 / 2425 / 2750
- VT Raw Control No"&amp;"vice S5:     2750 / 3025 / 3300 / 3550  -&gt;  2550 / 2900 / 3200 / 3550
- VT Controlsphere Novice S5:     2100 / 2400 / 2700 / 3100  -&gt;  2000 / 2325 / 2625 / 2975
- VT EddieTS Novice S5:     800  / 860  / 910  / 960   -&gt;  740  / 810  / 870  / 920
- VT Drift"&amp;"TS Novice S5:     380  / 410  / 440  / 470   -&gt;  360  / 390  / 420  / 440
- VT Penta Bounce Novice S5:      350  / 400  / 440  / 480   -&gt;  350  / 380  / 420  / 460
MIXED:
- VT Popcorn Novice S5:      500  / 580  / 650  / 710   -&gt;  480  / 570  / 640  / 72"&amp;"0
- VT PGT Novice S5:     2025 / 2300 / 2550 / 2775  -&gt;  1875 / 2200 / 2500 / 2800")</f>
        <v> - Advanced Score Reqs -
BUFFS:
- VT PGT Advanced S5:      2600 / 3000 / 3350 / 3600  -&gt;  2875 / 3300 / 3650 / 3950
- VT Snake Track Advanced S5:      2850 / 3200 / 3550 / 3850  -&gt;  3025 / 3325 / 3600 / 3850
- VT Raw Control Advanced S5:      3100 / 3450 / 3750 / 4000  -&gt;  3150 / 3500 / 3850 / 4200
- VT Controlsphere Advanced S5:      3100 / 3450 / 3750 / 4000  -&gt;  3125 / 3475 / 3825 / 4150
- VT DotTS Advanced S5:      1220 / 1290 / 1350 / 1400  -&gt;  1230 / 1290 / 1350 / 1400
- VT Penta Bounce Advanced S5:      530  / 570  / 620  / 670   -&gt;  530  / 580  / 620  / 670
NERFS:
- VT Popcorn Advanced S5:      720  / 820  / 910  / 980   -&gt;  670  / 790  / 890  / 980
- VT 1w2ts Advanced S5:      1340 / 1450 / 1540 / 1620  -&gt;  1310 / 1410 / 1510 / 1620
- VT ww5t Advanced S5:      1550 / 1670 / 1780 / 1880  -&gt;  1520 / 1630 / 1740 / 1880
- VT Frogtagon Advanced S5:      1170 / 1300 / 1520 / 1520  -&gt;  1100 / 1230 / 1370 / 1880
- VT Floating Heads Advanced S5:     760  / 880  / 990  / 1070  -&gt;  740  / 850  / 960  / 1070
- VT Aether Advanced S5:      2900 / 3225 / 3500 / 3750  -&gt;  2800 / 3150 / 3475 / 3725
- VT DriftTS Advanced S5:      450  / 480  / 510  / 540   -&gt;  440  / 480  / 510  / 540
- VT FlyTS Advanced S5:      480  / 520  / 570  / 620   -&gt;  480  / 520  / 570  / 600
- VT ControlTS Advanced S5:      480  / 510  / 540  / 570   -&gt;  450  / 490  / 530  / 560
MIXED:
- VT Pasu Advanced S5:      880  / 1030 / 1150 / 1250  -&gt;  900  / 1020 / 1130 / 1250 
- VT Ground Advanced S5:      2850 / 3200 / 3500 / 3750  -&gt;  2875 / 3175 / 3475 / 3725
- VT EddieTS Advanced S5:      1080 / 1150 / 1220 / 1280  -&gt;  1030 / 1130 / 1210 / 1290
 - Intermediate Score Reqs -
BUFFS:
- VT Pasu Intermediate S5:      660  / 760  / 850  / 940   -&gt;  760  / 840  / 910  / 970
- VT Snake Track Intermediate S5:    2750 / 3150 / 3425 / 3675  -&gt;  2850 / 3200 / 3500 / 3725
- VT Ground Intermediate S5:      2450 / 2750 / 3050 / 3350  -&gt;  2525 / 2850 / 3100 / 3350
- VT DotTS Intermediate S5:      1060 / 1140 / 1210 / 1260  -&gt;  1110 / 1170 / 1230 / 1270
- VT FlyTS Intermediate S5:      450  / 490  / 530  / 570   -&gt;  470  / 510  / 540  / 570
NERFS:
- VT Popcorn Intermediate S5:      640  / 730  / 810  / 880   -&gt;  600  / 690  / 780  / 860
- VT 1w3ts Intermediate S5:      1140 / 1230 / 1340 / 1430  -&gt;  1120 / 1220 / 1310 / 1390
- VT Frogtagon Intermediate S5:      980  / 1090 / 1190 / 1280  -&gt;  940  / 1040 / 1140 / 1230
- VT Floating Heads Intermediate S5: 640  / 740  / 820  / 890   -&gt;  610  / 690  / 770  / 860
- VT Aether Intermediate S5:      2450 / 2750 / 3050 / 3350  -&gt;  2175 / 2550 / 2900 / 3175
- VT Raw Control Intermediate S5:    3000 / 3300 / 3600 / 3900  -&gt;  2775 / 3200 / 3550 / 3875
- VT EddieTS Intermediate S5:      910  / 970  / 1030 / 1080  -&gt;  900  / 960  / 1020 / 1080
- VT DriftTS Intermediate S5:      420  / 450  / 480  / 510   -&gt;  390  / 430  / 460  / 490
- VT Penta Bounce Intermediate S5:   460  / 510  / 550  / 590   -&gt;  450  / 500  / 540  / 590
MIXED:
- VT ww5t Intermediate S5:      1300 / 1410 / 1500 / 1580  -&gt;  1310 / 1400 / 1490 / 1570
- VT PGT Intermediate S5:      2400 / 2750 / 3050 / 3300  -&gt;  2375 / 2750 / 3100 / 3375
- VT Controlsphere Intermediate S5:  2900 / 3200 / 3500 / 3800  -&gt;  2750 / 3175 / 3525 / 3825
- VT ControlTS Intermediate S5:      420  / 460  / 500  / 540   -&gt;  430  / 460  / 490  / 520
 - Novice Score Reqs -
BUFFS:
- VT Pasu Novice S5:      520  / 600  / 670  / 740   -&gt;  630  / 690  / 740  / 790
- VT ww5t Novice S5:     1110 / 1200 / 1280 / 1350  -&gt;  1080 / 1160 / 1230 / 1310
- VT Snake Track Novice S5:     2250 / 2500 / 2700 / 2900  -&gt;  2750 / 2975 / 3175 / 3375
- VT Ground Novice S5:      2000 / 2275 / 2550 / 2800  -&gt;  2500 / 2750 / 2950 / 3100
- VT DotTS Novice S5:      910  / 970  / 1020 / 1060  -&gt;  950  / 1010 / 1060 / 1100
- VT FlyTS Novice S5:      360  / 400  / 440  / 470   -&gt;  430  / 460  / 490  / 510
- VT ControlTS Novice S5:     320  / 360  / 400  / 440   -&gt;  390  / 410  / 440  / 460
NERFS:
- VT 1w4ts Novice S5:      930  / 1020 / 1100 / 1170  -&gt;  900  / 980  / 1050 / 1130
- VT Frogtagon Novice S5:     760  / 850  / 930  / 1000  -&gt;  730  / 810  / 900  / 990
- VT Floating Heads Novice S5:     500  / 570  / 640  / 700   -&gt;  450  / 520  / 580  / 650
- VT Aether Novice S5:      2100 / 2425 / 2700 / 2950  -&gt;  1900 / 2175 / 2425 / 2750
- VT Raw Control Novice S5:     2750 / 3025 / 3300 / 3550  -&gt;  2550 / 2900 / 3200 / 3550
- VT Controlsphere Novice S5:     2100 / 2400 / 2700 / 3100  -&gt;  2000 / 2325 / 2625 / 2975
- VT EddieTS Novice S5:     800  / 860  / 910  / 960   -&gt;  740  / 810  / 870  / 920
- VT DriftTS Novice S5:     380  / 410  / 440  / 470   -&gt;  360  / 390  / 420  / 440
- VT Penta Bounce Novice S5:      350  / 400  / 440  / 480   -&gt;  350  / 380  / 420  / 460
MIXED:
- VT Popcorn Novice S5:      500  / 580  / 650  / 710   -&gt;  480  / 570  / 640  / 720
- VT PGT Novice S5:     2025 / 2300 / 2550 / 2775  -&gt;  1875 / 2200 / 2500 / 2800</v>
      </c>
    </row>
    <row r="6">
      <c r="A6" s="126" t="str">
        <f>IFERROR(__xludf.DUMMYFUNCTION("""COMPUTED_VALUE"""),"1.0.3")</f>
        <v>1.0.3</v>
      </c>
      <c r="B6" s="127" t="str">
        <f>IFERROR(__xludf.DUMMYFUNCTION("""COMPUTED_VALUE"""),"Dec-27th-2024")</f>
        <v>Dec-27th-2024</v>
      </c>
      <c r="C6" s="126" t="str">
        <f>IFERROR(__xludf.DUMMYFUNCTION("""COMPUTED_VALUE"""),"Fixed incorrect score target for Ground Novice Bronze")</f>
        <v>Fixed incorrect score target for Ground Novice Bronze</v>
      </c>
    </row>
    <row r="7">
      <c r="A7" s="126" t="str">
        <f>IFERROR(__xludf.DUMMYFUNCTION("""COMPUTED_VALUE"""),"1.0.2")</f>
        <v>1.0.2</v>
      </c>
      <c r="B7" s="127" t="str">
        <f>IFERROR(__xludf.DUMMYFUNCTION("""COMPUTED_VALUE"""),"Dec-25th-2024")</f>
        <v>Dec-25th-2024</v>
      </c>
      <c r="C7" s="126" t="str">
        <f>IFERROR(__xludf.DUMMYFUNCTION("""COMPUTED_VALUE"""),"Fixed incorrect description of rank requirements on Instructions page")</f>
        <v>Fixed incorrect description of rank requirements on Instructions page</v>
      </c>
    </row>
    <row r="8">
      <c r="A8" s="126" t="str">
        <f>IFERROR(__xludf.DUMMYFUNCTION("""COMPUTED_VALUE"""),"1.0.1")</f>
        <v>1.0.1</v>
      </c>
      <c r="B8" s="127" t="str">
        <f>IFERROR(__xludf.DUMMYFUNCTION("""COMPUTED_VALUE"""),"Dec-25th-2024")</f>
        <v>Dec-25th-2024</v>
      </c>
      <c r="C8" s="126" t="str">
        <f>IFERROR(__xludf.DUMMYFUNCTION("""COMPUTED_VALUE"""),"Fixed incorrect score target for EddieTS Novice Bronze")</f>
        <v>Fixed incorrect score target for EddieTS Novice Bronze</v>
      </c>
    </row>
    <row r="9">
      <c r="A9" s="126" t="str">
        <f>IFERROR(__xludf.DUMMYFUNCTION("""COMPUTED_VALUE"""),"1.0.0")</f>
        <v>1.0.0</v>
      </c>
      <c r="B9" s="127" t="str">
        <f>IFERROR(__xludf.DUMMYFUNCTION("""COMPUTED_VALUE"""),"Dec-22nd-2024")</f>
        <v>Dec-22nd-2024</v>
      </c>
      <c r="C9" s="126" t="str">
        <f>IFERROR(__xludf.DUMMYFUNCTION("""COMPUTED_VALUE"""),"Start")</f>
        <v>Start</v>
      </c>
    </row>
    <row r="10">
      <c r="A10" s="126"/>
      <c r="B10" s="127"/>
      <c r="C10" s="126"/>
    </row>
    <row r="11">
      <c r="A11" s="126"/>
      <c r="B11" s="127"/>
      <c r="C11" s="126"/>
    </row>
    <row r="12">
      <c r="A12" s="126"/>
      <c r="B12" s="127"/>
      <c r="C12" s="126"/>
    </row>
    <row r="13">
      <c r="A13" s="126"/>
      <c r="B13" s="127"/>
      <c r="C13" s="126"/>
    </row>
    <row r="14">
      <c r="A14" s="126"/>
      <c r="B14" s="127"/>
      <c r="C14" s="126"/>
    </row>
    <row r="15">
      <c r="A15" s="126"/>
      <c r="B15" s="127"/>
      <c r="C15" s="126"/>
    </row>
    <row r="16">
      <c r="A16" s="126"/>
      <c r="B16" s="127"/>
      <c r="C16" s="126"/>
    </row>
    <row r="17">
      <c r="A17" s="126"/>
      <c r="B17" s="127"/>
      <c r="C17" s="126"/>
    </row>
    <row r="18">
      <c r="A18" s="126"/>
      <c r="B18" s="127"/>
      <c r="C18" s="126"/>
    </row>
    <row r="19">
      <c r="A19" s="126"/>
      <c r="B19" s="127"/>
      <c r="C19" s="126"/>
    </row>
    <row r="20">
      <c r="A20" s="126"/>
      <c r="B20" s="127"/>
      <c r="C20" s="126"/>
    </row>
    <row r="21">
      <c r="A21" s="126"/>
      <c r="B21" s="127"/>
      <c r="C21" s="126"/>
    </row>
    <row r="22">
      <c r="A22" s="126"/>
      <c r="B22" s="127"/>
      <c r="C22" s="126"/>
    </row>
    <row r="23">
      <c r="A23" s="126"/>
      <c r="B23" s="127"/>
      <c r="C23" s="126"/>
    </row>
    <row r="24">
      <c r="A24" s="126"/>
      <c r="B24" s="127"/>
      <c r="C24" s="126"/>
    </row>
    <row r="25">
      <c r="A25" s="126"/>
      <c r="B25" s="127"/>
      <c r="C25" s="126"/>
    </row>
    <row r="26">
      <c r="A26" s="126"/>
      <c r="B26" s="127"/>
      <c r="C26" s="126"/>
    </row>
    <row r="27">
      <c r="A27" s="126"/>
      <c r="B27" s="127"/>
      <c r="C27" s="126"/>
    </row>
    <row r="28">
      <c r="A28" s="126"/>
      <c r="B28" s="127"/>
      <c r="C28" s="126"/>
    </row>
    <row r="29">
      <c r="A29" s="126"/>
      <c r="B29" s="127"/>
      <c r="C29" s="126"/>
    </row>
    <row r="30">
      <c r="A30" s="126"/>
      <c r="B30" s="127"/>
      <c r="C30" s="126"/>
    </row>
    <row r="31">
      <c r="A31" s="126"/>
      <c r="B31" s="127"/>
      <c r="C31" s="126"/>
    </row>
    <row r="32">
      <c r="A32" s="126"/>
      <c r="B32" s="127"/>
      <c r="C32" s="126"/>
    </row>
    <row r="33">
      <c r="A33" s="126"/>
      <c r="B33" s="127"/>
      <c r="C33" s="126"/>
    </row>
    <row r="34">
      <c r="A34" s="126"/>
      <c r="B34" s="127"/>
      <c r="C34" s="126"/>
    </row>
    <row r="35">
      <c r="A35" s="126"/>
      <c r="B35" s="127"/>
      <c r="C35" s="126"/>
    </row>
    <row r="36">
      <c r="A36" s="126"/>
      <c r="B36" s="127"/>
      <c r="C36" s="126"/>
    </row>
    <row r="37">
      <c r="A37" s="126"/>
      <c r="B37" s="127"/>
      <c r="C37" s="126"/>
    </row>
    <row r="38">
      <c r="A38" s="126"/>
      <c r="B38" s="127"/>
      <c r="C38" s="126"/>
    </row>
    <row r="39">
      <c r="A39" s="126"/>
      <c r="B39" s="127"/>
      <c r="C39" s="126"/>
    </row>
    <row r="40">
      <c r="A40" s="126"/>
      <c r="B40" s="127"/>
      <c r="C40" s="126"/>
    </row>
    <row r="41">
      <c r="A41" s="126"/>
      <c r="B41" s="127"/>
      <c r="C41" s="126"/>
    </row>
    <row r="42">
      <c r="A42" s="126"/>
      <c r="B42" s="127"/>
      <c r="C42" s="126"/>
    </row>
    <row r="43">
      <c r="A43" s="126"/>
      <c r="B43" s="127"/>
      <c r="C43" s="126"/>
    </row>
    <row r="44">
      <c r="A44" s="126"/>
      <c r="B44" s="127"/>
      <c r="C44" s="126"/>
    </row>
    <row r="45">
      <c r="A45" s="126"/>
      <c r="B45" s="127"/>
      <c r="C45" s="126"/>
    </row>
    <row r="46">
      <c r="A46" s="126"/>
      <c r="B46" s="127"/>
      <c r="C46" s="126"/>
    </row>
    <row r="47">
      <c r="A47" s="126"/>
      <c r="B47" s="127"/>
      <c r="C47" s="126"/>
    </row>
    <row r="48">
      <c r="A48" s="126"/>
      <c r="B48" s="127"/>
      <c r="C48" s="126"/>
    </row>
    <row r="49">
      <c r="A49" s="126"/>
      <c r="B49" s="127"/>
      <c r="C49" s="126"/>
    </row>
    <row r="50">
      <c r="A50" s="126"/>
      <c r="B50" s="127"/>
      <c r="C50" s="126"/>
    </row>
    <row r="51">
      <c r="A51" s="126"/>
      <c r="B51" s="127"/>
      <c r="C51" s="126"/>
    </row>
    <row r="52">
      <c r="A52" s="126"/>
      <c r="B52" s="127"/>
      <c r="C52" s="126"/>
    </row>
    <row r="53">
      <c r="A53" s="126"/>
      <c r="B53" s="127"/>
      <c r="C53" s="126"/>
    </row>
    <row r="54">
      <c r="A54" s="126"/>
      <c r="B54" s="127"/>
      <c r="C54" s="126"/>
    </row>
    <row r="55">
      <c r="A55" s="126"/>
      <c r="B55" s="127"/>
      <c r="C55" s="126"/>
    </row>
    <row r="56">
      <c r="A56" s="126"/>
      <c r="B56" s="127"/>
      <c r="C56" s="126"/>
    </row>
    <row r="57">
      <c r="A57" s="126"/>
      <c r="B57" s="127"/>
      <c r="C57" s="126"/>
    </row>
    <row r="58">
      <c r="A58" s="126"/>
      <c r="B58" s="127"/>
      <c r="C58" s="126"/>
    </row>
    <row r="59">
      <c r="A59" s="126"/>
      <c r="B59" s="127"/>
      <c r="C59" s="126"/>
    </row>
    <row r="60">
      <c r="A60" s="126"/>
      <c r="B60" s="127"/>
      <c r="C60" s="126"/>
    </row>
    <row r="61">
      <c r="A61" s="126"/>
      <c r="B61" s="127"/>
      <c r="C61" s="126"/>
    </row>
    <row r="62">
      <c r="A62" s="126"/>
      <c r="B62" s="127"/>
      <c r="C62" s="126"/>
    </row>
    <row r="63">
      <c r="A63" s="126"/>
      <c r="B63" s="127"/>
      <c r="C63" s="126"/>
    </row>
    <row r="64">
      <c r="A64" s="126"/>
      <c r="B64" s="127"/>
      <c r="C64" s="126"/>
    </row>
    <row r="65">
      <c r="A65" s="126"/>
      <c r="B65" s="127"/>
      <c r="C65" s="126"/>
    </row>
    <row r="66">
      <c r="A66" s="126"/>
      <c r="B66" s="127"/>
      <c r="C66" s="126"/>
    </row>
    <row r="67">
      <c r="A67" s="126"/>
      <c r="B67" s="127"/>
      <c r="C67" s="126"/>
    </row>
    <row r="68">
      <c r="A68" s="126"/>
      <c r="B68" s="127"/>
      <c r="C68" s="126"/>
    </row>
    <row r="69">
      <c r="A69" s="126"/>
      <c r="B69" s="127"/>
      <c r="C69" s="126"/>
    </row>
    <row r="70">
      <c r="A70" s="126"/>
      <c r="B70" s="127"/>
      <c r="C70" s="126"/>
    </row>
    <row r="71">
      <c r="A71" s="126"/>
      <c r="B71" s="127"/>
      <c r="C71" s="126"/>
    </row>
    <row r="72">
      <c r="A72" s="126"/>
      <c r="B72" s="127"/>
      <c r="C72" s="126"/>
    </row>
    <row r="73">
      <c r="A73" s="126"/>
      <c r="B73" s="127"/>
      <c r="C73" s="126"/>
    </row>
    <row r="74">
      <c r="A74" s="126"/>
      <c r="B74" s="127"/>
      <c r="C74" s="126"/>
    </row>
    <row r="75">
      <c r="A75" s="126"/>
      <c r="B75" s="127"/>
      <c r="C75" s="126"/>
    </row>
    <row r="76">
      <c r="A76" s="126"/>
      <c r="B76" s="127"/>
      <c r="C76" s="126"/>
    </row>
    <row r="77">
      <c r="A77" s="126"/>
      <c r="B77" s="127"/>
      <c r="C77" s="126"/>
    </row>
    <row r="78">
      <c r="A78" s="126"/>
      <c r="B78" s="127"/>
      <c r="C78" s="126"/>
    </row>
    <row r="79">
      <c r="A79" s="126"/>
      <c r="B79" s="127"/>
      <c r="C79" s="126"/>
    </row>
    <row r="80">
      <c r="A80" s="126"/>
      <c r="B80" s="127"/>
      <c r="C80" s="126"/>
    </row>
    <row r="81">
      <c r="A81" s="126"/>
      <c r="B81" s="127"/>
      <c r="C81" s="126"/>
    </row>
    <row r="82">
      <c r="A82" s="126"/>
      <c r="B82" s="127"/>
      <c r="C82" s="126"/>
    </row>
    <row r="83">
      <c r="A83" s="126"/>
      <c r="B83" s="127"/>
      <c r="C83" s="126"/>
    </row>
    <row r="84">
      <c r="A84" s="126"/>
      <c r="B84" s="127"/>
      <c r="C84" s="126"/>
    </row>
    <row r="85">
      <c r="A85" s="126"/>
      <c r="B85" s="127"/>
      <c r="C85" s="126"/>
    </row>
    <row r="86">
      <c r="A86" s="126"/>
      <c r="B86" s="127"/>
      <c r="C86" s="126"/>
    </row>
    <row r="87">
      <c r="A87" s="126"/>
      <c r="B87" s="127"/>
      <c r="C87" s="126"/>
    </row>
    <row r="88">
      <c r="A88" s="126"/>
      <c r="B88" s="127"/>
      <c r="C88" s="126"/>
    </row>
    <row r="89">
      <c r="A89" s="126"/>
      <c r="B89" s="127"/>
      <c r="C89" s="126"/>
    </row>
    <row r="90">
      <c r="A90" s="126"/>
      <c r="B90" s="127"/>
      <c r="C90" s="126"/>
    </row>
    <row r="91">
      <c r="A91" s="126"/>
      <c r="B91" s="127"/>
      <c r="C91" s="126"/>
    </row>
    <row r="92">
      <c r="A92" s="126"/>
      <c r="B92" s="127"/>
      <c r="C92" s="126"/>
    </row>
    <row r="93">
      <c r="A93" s="126"/>
      <c r="B93" s="127"/>
      <c r="C93" s="126"/>
    </row>
    <row r="94">
      <c r="A94" s="126"/>
      <c r="B94" s="127"/>
      <c r="C94" s="126"/>
    </row>
    <row r="95">
      <c r="A95" s="126"/>
      <c r="B95" s="127"/>
      <c r="C95" s="126"/>
    </row>
    <row r="96">
      <c r="A96" s="126"/>
      <c r="B96" s="127"/>
      <c r="C96" s="126"/>
    </row>
    <row r="97">
      <c r="A97" s="126"/>
      <c r="B97" s="127"/>
      <c r="C97" s="126"/>
    </row>
    <row r="98">
      <c r="A98" s="126"/>
      <c r="B98" s="127"/>
      <c r="C98" s="126"/>
    </row>
    <row r="99">
      <c r="A99" s="126"/>
      <c r="B99" s="127"/>
      <c r="C99" s="126"/>
    </row>
    <row r="100">
      <c r="A100" s="126"/>
      <c r="B100" s="127"/>
      <c r="C100" s="126"/>
    </row>
    <row r="101">
      <c r="A101" s="126"/>
      <c r="B101" s="127"/>
      <c r="C101" s="126"/>
    </row>
    <row r="102">
      <c r="A102" s="126"/>
      <c r="B102" s="127"/>
      <c r="C102" s="126"/>
    </row>
    <row r="103">
      <c r="A103" s="126"/>
      <c r="B103" s="127"/>
      <c r="C103" s="126"/>
    </row>
    <row r="104">
      <c r="A104" s="126"/>
      <c r="B104" s="127"/>
      <c r="C104" s="126"/>
    </row>
    <row r="105">
      <c r="A105" s="126"/>
      <c r="B105" s="127"/>
      <c r="C105" s="126"/>
    </row>
    <row r="106">
      <c r="A106" s="126"/>
      <c r="B106" s="127"/>
      <c r="C106" s="126"/>
    </row>
    <row r="107">
      <c r="A107" s="126"/>
      <c r="B107" s="127"/>
      <c r="C107" s="126"/>
    </row>
    <row r="108">
      <c r="A108" s="126"/>
      <c r="B108" s="127"/>
      <c r="C108" s="126"/>
    </row>
    <row r="109">
      <c r="A109" s="126"/>
      <c r="B109" s="127"/>
      <c r="C109" s="126"/>
    </row>
    <row r="110">
      <c r="A110" s="126"/>
      <c r="B110" s="127"/>
      <c r="C110" s="126"/>
    </row>
    <row r="111">
      <c r="A111" s="126"/>
      <c r="B111" s="127"/>
      <c r="C111" s="126"/>
    </row>
    <row r="112">
      <c r="A112" s="126"/>
      <c r="B112" s="127"/>
      <c r="C112" s="126"/>
    </row>
    <row r="113">
      <c r="A113" s="126"/>
      <c r="B113" s="127"/>
      <c r="C113" s="126"/>
    </row>
    <row r="114">
      <c r="A114" s="126"/>
      <c r="B114" s="127"/>
      <c r="C114" s="126"/>
    </row>
    <row r="115">
      <c r="A115" s="126"/>
      <c r="B115" s="127"/>
      <c r="C115" s="126"/>
    </row>
    <row r="116">
      <c r="A116" s="126"/>
      <c r="B116" s="127"/>
      <c r="C116" s="126"/>
    </row>
    <row r="117">
      <c r="A117" s="126"/>
      <c r="B117" s="127"/>
      <c r="C117" s="126"/>
    </row>
    <row r="118">
      <c r="A118" s="126"/>
      <c r="B118" s="127"/>
      <c r="C118" s="126"/>
    </row>
    <row r="119">
      <c r="A119" s="126"/>
      <c r="B119" s="127"/>
      <c r="C119" s="126"/>
    </row>
    <row r="120">
      <c r="A120" s="126"/>
      <c r="B120" s="127"/>
      <c r="C120" s="126"/>
    </row>
    <row r="121">
      <c r="A121" s="126"/>
      <c r="B121" s="127"/>
      <c r="C121" s="126"/>
    </row>
    <row r="122">
      <c r="A122" s="126"/>
      <c r="B122" s="127"/>
      <c r="C122" s="126"/>
    </row>
    <row r="123">
      <c r="A123" s="126"/>
      <c r="B123" s="127"/>
      <c r="C123" s="126"/>
    </row>
    <row r="124">
      <c r="A124" s="126"/>
      <c r="B124" s="127"/>
      <c r="C124" s="126"/>
    </row>
    <row r="125">
      <c r="A125" s="126"/>
      <c r="B125" s="127"/>
      <c r="C125" s="126"/>
    </row>
    <row r="126">
      <c r="A126" s="126"/>
      <c r="B126" s="127"/>
      <c r="C126" s="126"/>
    </row>
    <row r="127">
      <c r="A127" s="126"/>
      <c r="B127" s="127"/>
      <c r="C127" s="126"/>
    </row>
    <row r="128">
      <c r="A128" s="126"/>
      <c r="B128" s="127"/>
      <c r="C128" s="126"/>
    </row>
    <row r="129">
      <c r="A129" s="126"/>
      <c r="B129" s="127"/>
      <c r="C129" s="126"/>
    </row>
    <row r="130">
      <c r="A130" s="126"/>
      <c r="B130" s="127"/>
      <c r="C130" s="126"/>
    </row>
    <row r="131">
      <c r="A131" s="126"/>
      <c r="B131" s="127"/>
      <c r="C131" s="126"/>
    </row>
    <row r="132">
      <c r="A132" s="126"/>
      <c r="B132" s="127"/>
      <c r="C132" s="126"/>
    </row>
    <row r="133">
      <c r="A133" s="126"/>
      <c r="B133" s="127"/>
      <c r="C133" s="126"/>
    </row>
    <row r="134">
      <c r="A134" s="126"/>
      <c r="B134" s="127"/>
      <c r="C134" s="126"/>
    </row>
    <row r="135">
      <c r="A135" s="126"/>
      <c r="B135" s="127"/>
      <c r="C135" s="126"/>
    </row>
    <row r="136">
      <c r="A136" s="126"/>
      <c r="B136" s="127"/>
      <c r="C136" s="126"/>
    </row>
    <row r="137">
      <c r="A137" s="126"/>
      <c r="B137" s="127"/>
      <c r="C137" s="126"/>
    </row>
    <row r="138">
      <c r="A138" s="126"/>
      <c r="B138" s="127"/>
      <c r="C138" s="126"/>
    </row>
    <row r="139">
      <c r="A139" s="126"/>
      <c r="B139" s="127"/>
      <c r="C139" s="126"/>
    </row>
    <row r="140">
      <c r="A140" s="126"/>
      <c r="B140" s="127"/>
      <c r="C140" s="126"/>
    </row>
    <row r="141">
      <c r="A141" s="126"/>
      <c r="B141" s="127"/>
      <c r="C141" s="126"/>
    </row>
    <row r="142">
      <c r="A142" s="126"/>
      <c r="B142" s="127"/>
      <c r="C142" s="126"/>
    </row>
    <row r="143">
      <c r="A143" s="126"/>
      <c r="B143" s="127"/>
      <c r="C143" s="126"/>
    </row>
    <row r="144">
      <c r="A144" s="126"/>
      <c r="B144" s="127"/>
      <c r="C144" s="126"/>
    </row>
    <row r="145">
      <c r="A145" s="126"/>
      <c r="B145" s="127"/>
      <c r="C145" s="126"/>
    </row>
    <row r="146">
      <c r="A146" s="126"/>
      <c r="B146" s="127"/>
      <c r="C146" s="126"/>
    </row>
    <row r="147">
      <c r="A147" s="126"/>
      <c r="B147" s="127"/>
      <c r="C147" s="126"/>
    </row>
    <row r="148">
      <c r="A148" s="126"/>
      <c r="B148" s="127"/>
      <c r="C148" s="126"/>
    </row>
    <row r="149">
      <c r="A149" s="126"/>
      <c r="B149" s="127"/>
      <c r="C149" s="126"/>
    </row>
    <row r="150">
      <c r="A150" s="126"/>
      <c r="B150" s="127"/>
      <c r="C150" s="126"/>
    </row>
    <row r="151">
      <c r="A151" s="126"/>
      <c r="B151" s="127"/>
      <c r="C151" s="126"/>
    </row>
    <row r="152">
      <c r="A152" s="126"/>
      <c r="B152" s="127"/>
      <c r="C152" s="126"/>
    </row>
    <row r="153">
      <c r="A153" s="126"/>
      <c r="B153" s="127"/>
      <c r="C153" s="126"/>
    </row>
    <row r="154">
      <c r="A154" s="126"/>
      <c r="B154" s="127"/>
      <c r="C154" s="126"/>
    </row>
    <row r="155">
      <c r="A155" s="126"/>
      <c r="B155" s="127"/>
      <c r="C155" s="126"/>
    </row>
    <row r="156">
      <c r="A156" s="126"/>
      <c r="B156" s="127"/>
      <c r="C156" s="126"/>
    </row>
    <row r="157">
      <c r="A157" s="126"/>
      <c r="B157" s="127"/>
      <c r="C157" s="126"/>
    </row>
    <row r="158">
      <c r="A158" s="126"/>
      <c r="B158" s="127"/>
      <c r="C158" s="126"/>
    </row>
    <row r="159">
      <c r="A159" s="126"/>
      <c r="B159" s="127"/>
      <c r="C159" s="126"/>
    </row>
    <row r="160">
      <c r="A160" s="126"/>
      <c r="B160" s="127"/>
      <c r="C160" s="126"/>
    </row>
    <row r="161">
      <c r="A161" s="126"/>
      <c r="B161" s="127"/>
      <c r="C161" s="126"/>
    </row>
    <row r="162">
      <c r="A162" s="126"/>
      <c r="B162" s="127"/>
      <c r="C162" s="126"/>
    </row>
    <row r="163">
      <c r="A163" s="126"/>
      <c r="B163" s="127"/>
      <c r="C163" s="126"/>
    </row>
    <row r="164">
      <c r="A164" s="126"/>
      <c r="B164" s="127"/>
      <c r="C164" s="126"/>
    </row>
    <row r="165">
      <c r="A165" s="126"/>
      <c r="B165" s="127"/>
      <c r="C165" s="126"/>
    </row>
    <row r="166">
      <c r="A166" s="126"/>
      <c r="B166" s="127"/>
      <c r="C166" s="126"/>
    </row>
    <row r="167">
      <c r="A167" s="126"/>
      <c r="B167" s="127"/>
      <c r="C167" s="126"/>
    </row>
    <row r="168">
      <c r="A168" s="126"/>
      <c r="B168" s="127"/>
      <c r="C168" s="126"/>
    </row>
    <row r="169">
      <c r="A169" s="126"/>
      <c r="B169" s="127"/>
      <c r="C169" s="126"/>
    </row>
    <row r="170">
      <c r="A170" s="126"/>
      <c r="B170" s="127"/>
      <c r="C170" s="126"/>
    </row>
    <row r="171">
      <c r="A171" s="126"/>
      <c r="B171" s="127"/>
      <c r="C171" s="126"/>
    </row>
    <row r="172">
      <c r="A172" s="126"/>
      <c r="B172" s="127"/>
      <c r="C172" s="126"/>
    </row>
    <row r="173">
      <c r="A173" s="126"/>
      <c r="B173" s="127"/>
      <c r="C173" s="126"/>
    </row>
    <row r="174">
      <c r="A174" s="126"/>
      <c r="B174" s="127"/>
      <c r="C174" s="126"/>
    </row>
    <row r="175">
      <c r="A175" s="126"/>
      <c r="B175" s="127"/>
      <c r="C175" s="126"/>
    </row>
    <row r="176">
      <c r="A176" s="126"/>
      <c r="B176" s="127"/>
      <c r="C176" s="126"/>
    </row>
    <row r="177">
      <c r="A177" s="126"/>
      <c r="B177" s="127"/>
      <c r="C177" s="126"/>
    </row>
    <row r="178">
      <c r="A178" s="126"/>
      <c r="B178" s="127"/>
      <c r="C178" s="126"/>
    </row>
    <row r="179">
      <c r="A179" s="126"/>
      <c r="B179" s="127"/>
      <c r="C179" s="126"/>
    </row>
    <row r="180">
      <c r="A180" s="126"/>
      <c r="B180" s="127"/>
      <c r="C180" s="126"/>
    </row>
    <row r="181">
      <c r="A181" s="126"/>
      <c r="B181" s="127"/>
      <c r="C181" s="126"/>
    </row>
    <row r="182">
      <c r="A182" s="126"/>
      <c r="B182" s="127"/>
      <c r="C182" s="126"/>
    </row>
    <row r="183">
      <c r="A183" s="126"/>
      <c r="B183" s="127"/>
      <c r="C183" s="126"/>
    </row>
    <row r="184">
      <c r="A184" s="126"/>
      <c r="B184" s="127"/>
      <c r="C184" s="126"/>
    </row>
    <row r="185">
      <c r="A185" s="126"/>
      <c r="B185" s="127"/>
      <c r="C185" s="126"/>
    </row>
    <row r="186">
      <c r="A186" s="126"/>
      <c r="B186" s="127"/>
      <c r="C186" s="126"/>
    </row>
    <row r="187">
      <c r="A187" s="126"/>
      <c r="B187" s="127"/>
      <c r="C187" s="126"/>
    </row>
    <row r="188">
      <c r="A188" s="126"/>
      <c r="B188" s="127"/>
      <c r="C188" s="126"/>
    </row>
    <row r="189">
      <c r="A189" s="126"/>
      <c r="B189" s="127"/>
      <c r="C189" s="126"/>
    </row>
    <row r="190">
      <c r="A190" s="126"/>
      <c r="B190" s="127"/>
      <c r="C190" s="126"/>
    </row>
    <row r="191">
      <c r="A191" s="126"/>
      <c r="B191" s="127"/>
      <c r="C191" s="126"/>
    </row>
    <row r="192">
      <c r="A192" s="126"/>
      <c r="B192" s="127"/>
      <c r="C192" s="126"/>
    </row>
    <row r="193">
      <c r="A193" s="126"/>
      <c r="B193" s="127"/>
      <c r="C193" s="126"/>
    </row>
    <row r="194">
      <c r="A194" s="126"/>
      <c r="B194" s="127"/>
      <c r="C194" s="126"/>
    </row>
    <row r="195">
      <c r="A195" s="126"/>
      <c r="B195" s="127"/>
      <c r="C195" s="126"/>
    </row>
    <row r="196">
      <c r="A196" s="126"/>
      <c r="B196" s="127"/>
      <c r="C196" s="126"/>
    </row>
    <row r="197">
      <c r="A197" s="126"/>
      <c r="B197" s="127"/>
      <c r="C197" s="126"/>
    </row>
    <row r="198">
      <c r="A198" s="126"/>
      <c r="B198" s="127"/>
      <c r="C198" s="126"/>
    </row>
    <row r="199">
      <c r="A199" s="126"/>
      <c r="B199" s="127"/>
      <c r="C199" s="126"/>
    </row>
    <row r="200">
      <c r="A200" s="126"/>
      <c r="B200" s="127"/>
      <c r="C200" s="126"/>
    </row>
    <row r="201">
      <c r="A201" s="126"/>
      <c r="B201" s="127"/>
      <c r="C201" s="126"/>
    </row>
    <row r="202">
      <c r="A202" s="126"/>
      <c r="B202" s="127"/>
      <c r="C202" s="126"/>
    </row>
    <row r="203">
      <c r="A203" s="126"/>
      <c r="B203" s="127"/>
      <c r="C203" s="126"/>
    </row>
    <row r="204">
      <c r="A204" s="126"/>
      <c r="B204" s="127"/>
      <c r="C204" s="126"/>
    </row>
    <row r="205">
      <c r="A205" s="126"/>
      <c r="B205" s="127"/>
      <c r="C205" s="126"/>
    </row>
    <row r="206">
      <c r="A206" s="126"/>
      <c r="B206" s="127"/>
      <c r="C206" s="126"/>
    </row>
    <row r="207">
      <c r="A207" s="126"/>
      <c r="B207" s="127"/>
      <c r="C207" s="126"/>
    </row>
    <row r="208">
      <c r="A208" s="126"/>
      <c r="B208" s="127"/>
      <c r="C208" s="126"/>
    </row>
    <row r="209">
      <c r="A209" s="126"/>
      <c r="B209" s="127"/>
      <c r="C209" s="126"/>
    </row>
    <row r="210">
      <c r="A210" s="126"/>
      <c r="B210" s="127"/>
      <c r="C210" s="126"/>
    </row>
    <row r="211">
      <c r="A211" s="126"/>
      <c r="B211" s="127"/>
      <c r="C211" s="126"/>
    </row>
    <row r="212">
      <c r="A212" s="126"/>
      <c r="B212" s="127"/>
      <c r="C212" s="126"/>
    </row>
    <row r="213">
      <c r="A213" s="126"/>
      <c r="B213" s="127"/>
      <c r="C213" s="126"/>
    </row>
    <row r="214">
      <c r="A214" s="126"/>
      <c r="B214" s="127"/>
      <c r="C214" s="126"/>
    </row>
    <row r="215">
      <c r="A215" s="126"/>
      <c r="B215" s="127"/>
      <c r="C215" s="126"/>
    </row>
    <row r="216">
      <c r="A216" s="126"/>
      <c r="B216" s="127"/>
      <c r="C216" s="126"/>
    </row>
    <row r="217">
      <c r="A217" s="126"/>
      <c r="B217" s="127"/>
      <c r="C217" s="126"/>
    </row>
    <row r="218">
      <c r="A218" s="126"/>
      <c r="B218" s="127"/>
      <c r="C218" s="126"/>
    </row>
    <row r="219">
      <c r="A219" s="126"/>
      <c r="B219" s="127"/>
      <c r="C219" s="126"/>
    </row>
    <row r="220">
      <c r="A220" s="126"/>
      <c r="B220" s="127"/>
      <c r="C220" s="126"/>
    </row>
    <row r="221">
      <c r="A221" s="126"/>
      <c r="B221" s="127"/>
      <c r="C221" s="126"/>
    </row>
    <row r="222">
      <c r="A222" s="126"/>
      <c r="B222" s="127"/>
      <c r="C222" s="126"/>
    </row>
    <row r="223">
      <c r="A223" s="126"/>
      <c r="B223" s="127"/>
      <c r="C223" s="126"/>
    </row>
    <row r="224">
      <c r="A224" s="126"/>
      <c r="B224" s="127"/>
      <c r="C224" s="126"/>
    </row>
    <row r="225">
      <c r="A225" s="126"/>
      <c r="B225" s="127"/>
      <c r="C225" s="126"/>
    </row>
    <row r="226">
      <c r="A226" s="126"/>
      <c r="B226" s="127"/>
      <c r="C226" s="126"/>
    </row>
    <row r="227">
      <c r="A227" s="126"/>
      <c r="B227" s="127"/>
      <c r="C227" s="126"/>
    </row>
    <row r="228">
      <c r="A228" s="126"/>
      <c r="B228" s="127"/>
      <c r="C228" s="126"/>
    </row>
    <row r="229">
      <c r="A229" s="126"/>
      <c r="B229" s="127"/>
      <c r="C229" s="126"/>
    </row>
    <row r="230">
      <c r="A230" s="126"/>
      <c r="B230" s="127"/>
      <c r="C230" s="126"/>
    </row>
    <row r="231">
      <c r="A231" s="126"/>
      <c r="B231" s="127"/>
      <c r="C231" s="126"/>
    </row>
    <row r="232">
      <c r="A232" s="126"/>
      <c r="B232" s="127"/>
      <c r="C232" s="126"/>
    </row>
    <row r="233">
      <c r="A233" s="126"/>
      <c r="B233" s="127"/>
      <c r="C233" s="126"/>
    </row>
    <row r="234">
      <c r="A234" s="126"/>
      <c r="B234" s="127"/>
      <c r="C234" s="126"/>
    </row>
    <row r="235">
      <c r="A235" s="126"/>
      <c r="B235" s="127"/>
      <c r="C235" s="126"/>
    </row>
    <row r="236">
      <c r="A236" s="126"/>
      <c r="B236" s="127"/>
      <c r="C236" s="126"/>
    </row>
    <row r="237">
      <c r="A237" s="126"/>
      <c r="B237" s="127"/>
      <c r="C237" s="126"/>
    </row>
    <row r="238">
      <c r="A238" s="126"/>
      <c r="B238" s="127"/>
      <c r="C238" s="126"/>
    </row>
    <row r="239">
      <c r="A239" s="126"/>
      <c r="B239" s="127"/>
      <c r="C239" s="126"/>
    </row>
    <row r="240">
      <c r="A240" s="126"/>
      <c r="B240" s="127"/>
      <c r="C240" s="126"/>
    </row>
    <row r="241">
      <c r="A241" s="126"/>
      <c r="B241" s="127"/>
      <c r="C241" s="126"/>
    </row>
    <row r="242">
      <c r="A242" s="126"/>
      <c r="B242" s="127"/>
      <c r="C242" s="126"/>
    </row>
    <row r="243">
      <c r="A243" s="126"/>
      <c r="B243" s="127"/>
      <c r="C243" s="126"/>
    </row>
    <row r="244">
      <c r="A244" s="126"/>
      <c r="B244" s="127"/>
      <c r="C244" s="126"/>
    </row>
    <row r="245">
      <c r="A245" s="126"/>
      <c r="B245" s="127"/>
      <c r="C245" s="126"/>
    </row>
    <row r="246">
      <c r="A246" s="126"/>
      <c r="B246" s="127"/>
      <c r="C246" s="126"/>
    </row>
    <row r="247">
      <c r="A247" s="126"/>
      <c r="B247" s="127"/>
      <c r="C247" s="126"/>
    </row>
    <row r="248">
      <c r="A248" s="126"/>
      <c r="B248" s="127"/>
      <c r="C248" s="126"/>
    </row>
    <row r="249">
      <c r="A249" s="126"/>
      <c r="B249" s="127"/>
      <c r="C249" s="126"/>
    </row>
    <row r="250">
      <c r="A250" s="126"/>
      <c r="B250" s="127"/>
      <c r="C250" s="126"/>
    </row>
    <row r="251">
      <c r="A251" s="126"/>
      <c r="B251" s="127"/>
      <c r="C251" s="126"/>
    </row>
    <row r="252">
      <c r="A252" s="126"/>
      <c r="B252" s="127"/>
      <c r="C252" s="126"/>
    </row>
    <row r="253">
      <c r="A253" s="126"/>
      <c r="B253" s="127"/>
      <c r="C253" s="126"/>
    </row>
    <row r="254">
      <c r="A254" s="126"/>
      <c r="B254" s="127"/>
      <c r="C254" s="126"/>
    </row>
    <row r="255">
      <c r="A255" s="126"/>
      <c r="B255" s="127"/>
      <c r="C255" s="126"/>
    </row>
    <row r="256">
      <c r="A256" s="126"/>
      <c r="B256" s="127"/>
      <c r="C256" s="126"/>
    </row>
    <row r="257">
      <c r="A257" s="126"/>
      <c r="B257" s="127"/>
      <c r="C257" s="126"/>
    </row>
    <row r="258">
      <c r="A258" s="126"/>
      <c r="B258" s="127"/>
      <c r="C258" s="126"/>
    </row>
    <row r="259">
      <c r="A259" s="126"/>
      <c r="B259" s="127"/>
      <c r="C259" s="126"/>
    </row>
    <row r="260">
      <c r="A260" s="126"/>
      <c r="B260" s="127"/>
      <c r="C260" s="126"/>
    </row>
    <row r="261">
      <c r="A261" s="126"/>
      <c r="B261" s="127"/>
      <c r="C261" s="126"/>
    </row>
    <row r="262">
      <c r="A262" s="126"/>
      <c r="B262" s="127"/>
      <c r="C262" s="126"/>
    </row>
    <row r="263">
      <c r="A263" s="126"/>
      <c r="B263" s="127"/>
      <c r="C263" s="126"/>
    </row>
    <row r="264">
      <c r="A264" s="126"/>
      <c r="B264" s="127"/>
      <c r="C264" s="126"/>
    </row>
    <row r="265">
      <c r="A265" s="126"/>
      <c r="B265" s="127"/>
      <c r="C265" s="126"/>
    </row>
    <row r="266">
      <c r="A266" s="126"/>
      <c r="B266" s="127"/>
      <c r="C266" s="126"/>
    </row>
    <row r="267">
      <c r="A267" s="126"/>
      <c r="B267" s="127"/>
      <c r="C267" s="126"/>
    </row>
    <row r="268">
      <c r="A268" s="126"/>
      <c r="B268" s="127"/>
      <c r="C268" s="126"/>
    </row>
    <row r="269">
      <c r="A269" s="126"/>
      <c r="B269" s="127"/>
      <c r="C269" s="126"/>
    </row>
    <row r="270">
      <c r="A270" s="126"/>
      <c r="B270" s="127"/>
      <c r="C270" s="126"/>
    </row>
    <row r="271">
      <c r="A271" s="126"/>
      <c r="B271" s="127"/>
      <c r="C271" s="126"/>
    </row>
    <row r="272">
      <c r="A272" s="126"/>
      <c r="B272" s="127"/>
      <c r="C272" s="126"/>
    </row>
    <row r="273">
      <c r="A273" s="126"/>
      <c r="B273" s="127"/>
      <c r="C273" s="126"/>
    </row>
    <row r="274">
      <c r="A274" s="126"/>
      <c r="B274" s="127"/>
      <c r="C274" s="126"/>
    </row>
    <row r="275">
      <c r="A275" s="126"/>
      <c r="B275" s="127"/>
      <c r="C275" s="126"/>
    </row>
    <row r="276">
      <c r="A276" s="126"/>
      <c r="B276" s="127"/>
      <c r="C276" s="126"/>
    </row>
    <row r="277">
      <c r="A277" s="126"/>
      <c r="B277" s="127"/>
      <c r="C277" s="126"/>
    </row>
    <row r="278">
      <c r="A278" s="126"/>
      <c r="B278" s="127"/>
      <c r="C278" s="126"/>
    </row>
    <row r="279">
      <c r="A279" s="126"/>
      <c r="B279" s="127"/>
      <c r="C279" s="126"/>
    </row>
    <row r="280">
      <c r="A280" s="126"/>
      <c r="B280" s="127"/>
      <c r="C280" s="126"/>
    </row>
    <row r="281">
      <c r="A281" s="126"/>
      <c r="B281" s="127"/>
      <c r="C281" s="126"/>
    </row>
    <row r="282">
      <c r="A282" s="126"/>
      <c r="B282" s="127"/>
      <c r="C282" s="126"/>
    </row>
    <row r="283">
      <c r="A283" s="126"/>
      <c r="B283" s="127"/>
      <c r="C283" s="126"/>
    </row>
    <row r="284">
      <c r="A284" s="126"/>
      <c r="B284" s="127"/>
      <c r="C284" s="126"/>
    </row>
    <row r="285">
      <c r="A285" s="126"/>
      <c r="B285" s="127"/>
      <c r="C285" s="126"/>
    </row>
    <row r="286">
      <c r="A286" s="126"/>
      <c r="B286" s="127"/>
      <c r="C286" s="126"/>
    </row>
    <row r="287">
      <c r="A287" s="126"/>
      <c r="B287" s="127"/>
      <c r="C287" s="126"/>
    </row>
    <row r="288">
      <c r="A288" s="126"/>
      <c r="B288" s="127"/>
      <c r="C288" s="126"/>
    </row>
    <row r="289">
      <c r="A289" s="126"/>
      <c r="B289" s="127"/>
      <c r="C289" s="126"/>
    </row>
    <row r="290">
      <c r="A290" s="126"/>
      <c r="B290" s="127"/>
      <c r="C290" s="126"/>
    </row>
    <row r="291">
      <c r="A291" s="126"/>
      <c r="B291" s="127"/>
      <c r="C291" s="126"/>
    </row>
    <row r="292">
      <c r="A292" s="126"/>
      <c r="B292" s="127"/>
      <c r="C292" s="126"/>
    </row>
    <row r="293">
      <c r="A293" s="126"/>
      <c r="B293" s="127"/>
      <c r="C293" s="126"/>
    </row>
    <row r="294">
      <c r="A294" s="126"/>
      <c r="B294" s="127"/>
      <c r="C294" s="126"/>
    </row>
    <row r="295">
      <c r="A295" s="126"/>
      <c r="B295" s="127"/>
      <c r="C295" s="126"/>
    </row>
    <row r="296">
      <c r="A296" s="126"/>
      <c r="B296" s="127"/>
      <c r="C296" s="126"/>
    </row>
    <row r="297">
      <c r="A297" s="126"/>
      <c r="B297" s="127"/>
      <c r="C297" s="126"/>
    </row>
    <row r="298">
      <c r="A298" s="126"/>
      <c r="B298" s="127"/>
      <c r="C298" s="126"/>
    </row>
    <row r="299">
      <c r="A299" s="126"/>
      <c r="B299" s="127"/>
      <c r="C299" s="126"/>
    </row>
    <row r="300">
      <c r="A300" s="126"/>
      <c r="B300" s="127"/>
      <c r="C300" s="126"/>
    </row>
    <row r="301">
      <c r="A301" s="126"/>
      <c r="B301" s="127"/>
      <c r="C301" s="126"/>
    </row>
    <row r="302">
      <c r="A302" s="126"/>
      <c r="B302" s="127"/>
      <c r="C302" s="126"/>
    </row>
    <row r="303">
      <c r="A303" s="126"/>
      <c r="B303" s="127"/>
      <c r="C303" s="126"/>
    </row>
    <row r="304">
      <c r="A304" s="126"/>
      <c r="B304" s="127"/>
      <c r="C304" s="126"/>
    </row>
    <row r="305">
      <c r="A305" s="126"/>
      <c r="B305" s="127"/>
      <c r="C305" s="126"/>
    </row>
    <row r="306">
      <c r="A306" s="126"/>
      <c r="B306" s="127"/>
      <c r="C306" s="126"/>
    </row>
    <row r="307">
      <c r="A307" s="126"/>
      <c r="B307" s="127"/>
      <c r="C307" s="126"/>
    </row>
    <row r="308">
      <c r="A308" s="126"/>
      <c r="B308" s="127"/>
      <c r="C308" s="126"/>
    </row>
    <row r="309">
      <c r="A309" s="126"/>
      <c r="B309" s="127"/>
      <c r="C309" s="126"/>
    </row>
    <row r="310">
      <c r="A310" s="126"/>
      <c r="B310" s="127"/>
      <c r="C310" s="126"/>
    </row>
    <row r="311">
      <c r="A311" s="126"/>
      <c r="B311" s="127"/>
      <c r="C311" s="126"/>
    </row>
    <row r="312">
      <c r="A312" s="126"/>
      <c r="B312" s="127"/>
      <c r="C312" s="126"/>
    </row>
    <row r="313">
      <c r="A313" s="126"/>
      <c r="B313" s="127"/>
      <c r="C313" s="126"/>
    </row>
    <row r="314">
      <c r="A314" s="126"/>
      <c r="B314" s="127"/>
      <c r="C314" s="126"/>
    </row>
    <row r="315">
      <c r="A315" s="126"/>
      <c r="B315" s="127"/>
      <c r="C315" s="126"/>
    </row>
    <row r="316">
      <c r="A316" s="126"/>
      <c r="B316" s="127"/>
      <c r="C316" s="126"/>
    </row>
    <row r="317">
      <c r="A317" s="126"/>
      <c r="B317" s="127"/>
      <c r="C317" s="126"/>
    </row>
    <row r="318">
      <c r="A318" s="126"/>
      <c r="B318" s="127"/>
      <c r="C318" s="126"/>
    </row>
    <row r="319">
      <c r="A319" s="126"/>
      <c r="B319" s="127"/>
      <c r="C319" s="126"/>
    </row>
    <row r="320">
      <c r="A320" s="126"/>
      <c r="B320" s="127"/>
      <c r="C320" s="126"/>
    </row>
    <row r="321">
      <c r="A321" s="126"/>
      <c r="B321" s="127"/>
      <c r="C321" s="126"/>
    </row>
    <row r="322">
      <c r="A322" s="126"/>
      <c r="B322" s="127"/>
      <c r="C322" s="126"/>
    </row>
    <row r="323">
      <c r="A323" s="126"/>
      <c r="B323" s="127"/>
      <c r="C323" s="126"/>
    </row>
    <row r="324">
      <c r="A324" s="126"/>
      <c r="B324" s="127"/>
      <c r="C324" s="126"/>
    </row>
    <row r="325">
      <c r="A325" s="126"/>
      <c r="B325" s="127"/>
      <c r="C325" s="126"/>
    </row>
    <row r="326">
      <c r="A326" s="126"/>
      <c r="B326" s="127"/>
      <c r="C326" s="126"/>
    </row>
    <row r="327">
      <c r="A327" s="126"/>
      <c r="B327" s="127"/>
      <c r="C327" s="126"/>
    </row>
    <row r="328">
      <c r="A328" s="126"/>
      <c r="B328" s="127"/>
      <c r="C328" s="126"/>
    </row>
    <row r="329">
      <c r="A329" s="126"/>
      <c r="B329" s="127"/>
      <c r="C329" s="126"/>
    </row>
    <row r="330">
      <c r="A330" s="126"/>
      <c r="B330" s="127"/>
      <c r="C330" s="126"/>
    </row>
    <row r="331">
      <c r="A331" s="126"/>
      <c r="B331" s="127"/>
      <c r="C331" s="126"/>
    </row>
    <row r="332">
      <c r="A332" s="126"/>
      <c r="B332" s="127"/>
      <c r="C332" s="126"/>
    </row>
    <row r="333">
      <c r="A333" s="126"/>
      <c r="B333" s="127"/>
      <c r="C333" s="126"/>
    </row>
    <row r="334">
      <c r="A334" s="126"/>
      <c r="B334" s="127"/>
      <c r="C334" s="126"/>
    </row>
    <row r="335">
      <c r="A335" s="126"/>
      <c r="B335" s="127"/>
      <c r="C335" s="126"/>
    </row>
    <row r="336">
      <c r="A336" s="126"/>
      <c r="B336" s="127"/>
      <c r="C336" s="126"/>
    </row>
    <row r="337">
      <c r="A337" s="126"/>
      <c r="B337" s="127"/>
      <c r="C337" s="126"/>
    </row>
    <row r="338">
      <c r="A338" s="126"/>
      <c r="B338" s="127"/>
      <c r="C338" s="126"/>
    </row>
    <row r="339">
      <c r="A339" s="126"/>
      <c r="B339" s="127"/>
      <c r="C339" s="126"/>
    </row>
    <row r="340">
      <c r="A340" s="126"/>
      <c r="B340" s="127"/>
      <c r="C340" s="126"/>
    </row>
    <row r="341">
      <c r="A341" s="126"/>
      <c r="B341" s="127"/>
      <c r="C341" s="126"/>
    </row>
    <row r="342">
      <c r="A342" s="126"/>
      <c r="B342" s="127"/>
      <c r="C342" s="126"/>
    </row>
    <row r="343">
      <c r="A343" s="126"/>
      <c r="B343" s="127"/>
      <c r="C343" s="126"/>
    </row>
    <row r="344">
      <c r="A344" s="126"/>
      <c r="B344" s="127"/>
      <c r="C344" s="126"/>
    </row>
    <row r="345">
      <c r="A345" s="126"/>
      <c r="B345" s="127"/>
      <c r="C345" s="126"/>
    </row>
    <row r="346">
      <c r="A346" s="126"/>
      <c r="B346" s="127"/>
      <c r="C346" s="126"/>
    </row>
    <row r="347">
      <c r="A347" s="126"/>
      <c r="B347" s="127"/>
      <c r="C347" s="126"/>
    </row>
    <row r="348">
      <c r="A348" s="126"/>
      <c r="B348" s="127"/>
      <c r="C348" s="126"/>
    </row>
    <row r="349">
      <c r="A349" s="126"/>
      <c r="B349" s="127"/>
      <c r="C349" s="126"/>
    </row>
    <row r="350">
      <c r="A350" s="126"/>
      <c r="B350" s="127"/>
      <c r="C350" s="126"/>
    </row>
    <row r="351">
      <c r="A351" s="126"/>
      <c r="B351" s="127"/>
      <c r="C351" s="126"/>
    </row>
    <row r="352">
      <c r="A352" s="126"/>
      <c r="B352" s="127"/>
      <c r="C352" s="126"/>
    </row>
    <row r="353">
      <c r="A353" s="126"/>
      <c r="B353" s="127"/>
      <c r="C353" s="126"/>
    </row>
    <row r="354">
      <c r="A354" s="126"/>
      <c r="B354" s="127"/>
      <c r="C354" s="126"/>
    </row>
    <row r="355">
      <c r="A355" s="126"/>
      <c r="B355" s="127"/>
      <c r="C355" s="126"/>
    </row>
    <row r="356">
      <c r="A356" s="126"/>
      <c r="B356" s="127"/>
      <c r="C356" s="126"/>
    </row>
    <row r="357">
      <c r="A357" s="126"/>
      <c r="B357" s="127"/>
      <c r="C357" s="126"/>
    </row>
    <row r="358">
      <c r="A358" s="126"/>
      <c r="B358" s="127"/>
      <c r="C358" s="126"/>
    </row>
    <row r="359">
      <c r="A359" s="126"/>
      <c r="B359" s="127"/>
      <c r="C359" s="126"/>
    </row>
    <row r="360">
      <c r="A360" s="126"/>
      <c r="B360" s="127"/>
      <c r="C360" s="126"/>
    </row>
    <row r="361">
      <c r="A361" s="126"/>
      <c r="B361" s="127"/>
      <c r="C361" s="126"/>
    </row>
    <row r="362">
      <c r="A362" s="126"/>
      <c r="B362" s="127"/>
      <c r="C362" s="126"/>
    </row>
    <row r="363">
      <c r="A363" s="126"/>
      <c r="B363" s="127"/>
      <c r="C363" s="126"/>
    </row>
    <row r="364">
      <c r="A364" s="126"/>
      <c r="B364" s="127"/>
      <c r="C364" s="126"/>
    </row>
    <row r="365">
      <c r="A365" s="126"/>
      <c r="B365" s="127"/>
      <c r="C365" s="126"/>
    </row>
    <row r="366">
      <c r="A366" s="126"/>
      <c r="B366" s="127"/>
      <c r="C366" s="126"/>
    </row>
    <row r="367">
      <c r="A367" s="126"/>
      <c r="B367" s="127"/>
      <c r="C367" s="126"/>
    </row>
    <row r="368">
      <c r="A368" s="126"/>
      <c r="B368" s="127"/>
      <c r="C368" s="126"/>
    </row>
    <row r="369">
      <c r="A369" s="126"/>
      <c r="B369" s="127"/>
      <c r="C369" s="126"/>
    </row>
    <row r="370">
      <c r="A370" s="126"/>
      <c r="B370" s="127"/>
      <c r="C370" s="126"/>
    </row>
    <row r="371">
      <c r="A371" s="126"/>
      <c r="B371" s="127"/>
      <c r="C371" s="126"/>
    </row>
    <row r="372">
      <c r="A372" s="126"/>
      <c r="B372" s="127"/>
      <c r="C372" s="126"/>
    </row>
    <row r="373">
      <c r="A373" s="126"/>
      <c r="B373" s="127"/>
      <c r="C373" s="126"/>
    </row>
    <row r="374">
      <c r="A374" s="126"/>
      <c r="B374" s="127"/>
      <c r="C374" s="126"/>
    </row>
    <row r="375">
      <c r="A375" s="126"/>
      <c r="B375" s="127"/>
      <c r="C375" s="126"/>
    </row>
    <row r="376">
      <c r="A376" s="126"/>
      <c r="B376" s="127"/>
      <c r="C376" s="126"/>
    </row>
    <row r="377">
      <c r="A377" s="126"/>
      <c r="B377" s="127"/>
      <c r="C377" s="126"/>
    </row>
    <row r="378">
      <c r="A378" s="126"/>
      <c r="B378" s="127"/>
      <c r="C378" s="126"/>
    </row>
    <row r="379">
      <c r="A379" s="126"/>
      <c r="B379" s="127"/>
      <c r="C379" s="126"/>
    </row>
    <row r="380">
      <c r="A380" s="126"/>
      <c r="B380" s="127"/>
      <c r="C380" s="126"/>
    </row>
    <row r="381">
      <c r="A381" s="126"/>
      <c r="B381" s="127"/>
      <c r="C381" s="126"/>
    </row>
    <row r="382">
      <c r="A382" s="126"/>
      <c r="B382" s="127"/>
      <c r="C382" s="126"/>
    </row>
    <row r="383">
      <c r="A383" s="126"/>
      <c r="B383" s="127"/>
      <c r="C383" s="126"/>
    </row>
    <row r="384">
      <c r="A384" s="126"/>
      <c r="B384" s="127"/>
      <c r="C384" s="126"/>
    </row>
    <row r="385">
      <c r="A385" s="126"/>
      <c r="B385" s="127"/>
      <c r="C385" s="126"/>
    </row>
    <row r="386">
      <c r="A386" s="126"/>
      <c r="B386" s="127"/>
      <c r="C386" s="126"/>
    </row>
    <row r="387">
      <c r="A387" s="126"/>
      <c r="B387" s="127"/>
      <c r="C387" s="126"/>
    </row>
    <row r="388">
      <c r="A388" s="126"/>
      <c r="B388" s="127"/>
      <c r="C388" s="126"/>
    </row>
    <row r="389">
      <c r="A389" s="126"/>
      <c r="B389" s="127"/>
      <c r="C389" s="126"/>
    </row>
    <row r="390">
      <c r="A390" s="126"/>
      <c r="B390" s="127"/>
      <c r="C390" s="126"/>
    </row>
    <row r="391">
      <c r="A391" s="126"/>
      <c r="B391" s="127"/>
      <c r="C391" s="126"/>
    </row>
    <row r="392">
      <c r="A392" s="126"/>
      <c r="B392" s="127"/>
      <c r="C392" s="126"/>
    </row>
    <row r="393">
      <c r="A393" s="126"/>
      <c r="B393" s="127"/>
      <c r="C393" s="126"/>
    </row>
    <row r="394">
      <c r="A394" s="126"/>
      <c r="B394" s="127"/>
      <c r="C394" s="126"/>
    </row>
    <row r="395">
      <c r="A395" s="126"/>
      <c r="B395" s="127"/>
      <c r="C395" s="126"/>
    </row>
    <row r="396">
      <c r="A396" s="126"/>
      <c r="B396" s="127"/>
      <c r="C396" s="126"/>
    </row>
    <row r="397">
      <c r="A397" s="126"/>
      <c r="B397" s="127"/>
      <c r="C397" s="126"/>
    </row>
    <row r="398">
      <c r="A398" s="126"/>
      <c r="B398" s="127"/>
      <c r="C398" s="126"/>
    </row>
    <row r="399">
      <c r="A399" s="126"/>
      <c r="B399" s="127"/>
      <c r="C399" s="126"/>
    </row>
    <row r="400">
      <c r="A400" s="126"/>
      <c r="B400" s="127"/>
      <c r="C400" s="126"/>
    </row>
    <row r="401">
      <c r="A401" s="126"/>
      <c r="B401" s="127"/>
      <c r="C401" s="126"/>
    </row>
    <row r="402">
      <c r="A402" s="126"/>
      <c r="B402" s="127"/>
      <c r="C402" s="126"/>
    </row>
    <row r="403">
      <c r="A403" s="126"/>
      <c r="B403" s="127"/>
      <c r="C403" s="126"/>
    </row>
    <row r="404">
      <c r="A404" s="126"/>
      <c r="B404" s="127"/>
      <c r="C404" s="126"/>
    </row>
    <row r="405">
      <c r="A405" s="126"/>
      <c r="B405" s="127"/>
      <c r="C405" s="126"/>
    </row>
    <row r="406">
      <c r="A406" s="126"/>
      <c r="B406" s="127"/>
      <c r="C406" s="126"/>
    </row>
    <row r="407">
      <c r="A407" s="126"/>
      <c r="B407" s="127"/>
      <c r="C407" s="126"/>
    </row>
    <row r="408">
      <c r="A408" s="126"/>
      <c r="B408" s="127"/>
      <c r="C408" s="126"/>
    </row>
    <row r="409">
      <c r="A409" s="126"/>
      <c r="B409" s="127"/>
      <c r="C409" s="126"/>
    </row>
    <row r="410">
      <c r="A410" s="126"/>
      <c r="B410" s="127"/>
      <c r="C410" s="126"/>
    </row>
    <row r="411">
      <c r="A411" s="126"/>
      <c r="B411" s="127"/>
      <c r="C411" s="126"/>
    </row>
    <row r="412">
      <c r="A412" s="126"/>
      <c r="B412" s="127"/>
      <c r="C412" s="126"/>
    </row>
    <row r="413">
      <c r="A413" s="126"/>
      <c r="B413" s="127"/>
      <c r="C413" s="126"/>
    </row>
    <row r="414">
      <c r="A414" s="126"/>
      <c r="B414" s="127"/>
      <c r="C414" s="126"/>
    </row>
    <row r="415">
      <c r="A415" s="126"/>
      <c r="B415" s="127"/>
      <c r="C415" s="126"/>
    </row>
    <row r="416">
      <c r="A416" s="126"/>
      <c r="B416" s="127"/>
      <c r="C416" s="126"/>
    </row>
    <row r="417">
      <c r="A417" s="126"/>
      <c r="B417" s="127"/>
      <c r="C417" s="126"/>
    </row>
    <row r="418">
      <c r="A418" s="126"/>
      <c r="B418" s="127"/>
      <c r="C418" s="126"/>
    </row>
    <row r="419">
      <c r="A419" s="126"/>
      <c r="B419" s="127"/>
      <c r="C419" s="126"/>
    </row>
    <row r="420">
      <c r="A420" s="126"/>
      <c r="B420" s="127"/>
      <c r="C420" s="126"/>
    </row>
    <row r="421">
      <c r="A421" s="126"/>
      <c r="B421" s="127"/>
      <c r="C421" s="126"/>
    </row>
    <row r="422">
      <c r="A422" s="126"/>
      <c r="B422" s="127"/>
      <c r="C422" s="126"/>
    </row>
    <row r="423">
      <c r="A423" s="126"/>
      <c r="B423" s="127"/>
      <c r="C423" s="126"/>
    </row>
    <row r="424">
      <c r="A424" s="126"/>
      <c r="B424" s="127"/>
      <c r="C424" s="126"/>
    </row>
    <row r="425">
      <c r="A425" s="126"/>
      <c r="B425" s="127"/>
      <c r="C425" s="126"/>
    </row>
    <row r="426">
      <c r="A426" s="126"/>
      <c r="B426" s="127"/>
      <c r="C426" s="126"/>
    </row>
    <row r="427">
      <c r="A427" s="126"/>
      <c r="B427" s="127"/>
      <c r="C427" s="126"/>
    </row>
    <row r="428">
      <c r="A428" s="126"/>
      <c r="B428" s="127"/>
      <c r="C428" s="126"/>
    </row>
    <row r="429">
      <c r="A429" s="126"/>
      <c r="B429" s="127"/>
      <c r="C429" s="126"/>
    </row>
    <row r="430">
      <c r="A430" s="126"/>
      <c r="B430" s="127"/>
      <c r="C430" s="126"/>
    </row>
    <row r="431">
      <c r="A431" s="126"/>
      <c r="B431" s="127"/>
      <c r="C431" s="126"/>
    </row>
    <row r="432">
      <c r="A432" s="126"/>
      <c r="B432" s="127"/>
      <c r="C432" s="126"/>
    </row>
    <row r="433">
      <c r="A433" s="126"/>
      <c r="B433" s="127"/>
      <c r="C433" s="126"/>
    </row>
    <row r="434">
      <c r="A434" s="126"/>
      <c r="B434" s="127"/>
      <c r="C434" s="126"/>
    </row>
    <row r="435">
      <c r="A435" s="126"/>
      <c r="B435" s="127"/>
      <c r="C435" s="126"/>
    </row>
    <row r="436">
      <c r="A436" s="126"/>
      <c r="B436" s="127"/>
      <c r="C436" s="126"/>
    </row>
    <row r="437">
      <c r="A437" s="126"/>
      <c r="B437" s="127"/>
      <c r="C437" s="126"/>
    </row>
    <row r="438">
      <c r="A438" s="126"/>
      <c r="B438" s="127"/>
      <c r="C438" s="126"/>
    </row>
    <row r="439">
      <c r="A439" s="126"/>
      <c r="B439" s="127"/>
      <c r="C439" s="126"/>
    </row>
    <row r="440">
      <c r="A440" s="126"/>
      <c r="B440" s="127"/>
      <c r="C440" s="126"/>
    </row>
    <row r="441">
      <c r="A441" s="126"/>
      <c r="B441" s="127"/>
      <c r="C441" s="126"/>
    </row>
    <row r="442">
      <c r="A442" s="126"/>
      <c r="B442" s="127"/>
      <c r="C442" s="126"/>
    </row>
    <row r="443">
      <c r="A443" s="126"/>
      <c r="B443" s="127"/>
      <c r="C443" s="126"/>
    </row>
    <row r="444">
      <c r="A444" s="126"/>
      <c r="B444" s="127"/>
      <c r="C444" s="126"/>
    </row>
    <row r="445">
      <c r="A445" s="126"/>
      <c r="B445" s="127"/>
      <c r="C445" s="126"/>
    </row>
    <row r="446">
      <c r="A446" s="126"/>
      <c r="B446" s="127"/>
      <c r="C446" s="126"/>
    </row>
    <row r="447">
      <c r="A447" s="126"/>
      <c r="B447" s="127"/>
      <c r="C447" s="126"/>
    </row>
    <row r="448">
      <c r="A448" s="126"/>
      <c r="B448" s="127"/>
      <c r="C448" s="126"/>
    </row>
    <row r="449">
      <c r="A449" s="126"/>
      <c r="B449" s="127"/>
      <c r="C449" s="126"/>
    </row>
    <row r="450">
      <c r="A450" s="126"/>
      <c r="B450" s="127"/>
      <c r="C450" s="126"/>
    </row>
    <row r="451">
      <c r="A451" s="126"/>
      <c r="B451" s="127"/>
      <c r="C451" s="126"/>
    </row>
    <row r="452">
      <c r="A452" s="126"/>
      <c r="B452" s="127"/>
      <c r="C452" s="126"/>
    </row>
    <row r="453">
      <c r="A453" s="126"/>
      <c r="B453" s="127"/>
      <c r="C453" s="126"/>
    </row>
    <row r="454">
      <c r="A454" s="126"/>
      <c r="B454" s="127"/>
      <c r="C454" s="126"/>
    </row>
    <row r="455">
      <c r="A455" s="126"/>
      <c r="B455" s="127"/>
      <c r="C455" s="126"/>
    </row>
    <row r="456">
      <c r="A456" s="126"/>
      <c r="B456" s="127"/>
      <c r="C456" s="126"/>
    </row>
    <row r="457">
      <c r="A457" s="126"/>
      <c r="B457" s="127"/>
      <c r="C457" s="126"/>
    </row>
    <row r="458">
      <c r="A458" s="126"/>
      <c r="B458" s="127"/>
      <c r="C458" s="126"/>
    </row>
    <row r="459">
      <c r="A459" s="126"/>
      <c r="B459" s="127"/>
      <c r="C459" s="126"/>
    </row>
    <row r="460">
      <c r="A460" s="126"/>
      <c r="B460" s="127"/>
      <c r="C460" s="126"/>
    </row>
    <row r="461">
      <c r="A461" s="126"/>
      <c r="B461" s="127"/>
      <c r="C461" s="126"/>
    </row>
    <row r="462">
      <c r="A462" s="126"/>
      <c r="B462" s="127"/>
      <c r="C462" s="126"/>
    </row>
    <row r="463">
      <c r="A463" s="126"/>
      <c r="B463" s="127"/>
      <c r="C463" s="126"/>
    </row>
    <row r="464">
      <c r="A464" s="126"/>
      <c r="B464" s="127"/>
      <c r="C464" s="126"/>
    </row>
    <row r="465">
      <c r="A465" s="126"/>
      <c r="B465" s="127"/>
      <c r="C465" s="126"/>
    </row>
    <row r="466">
      <c r="A466" s="126"/>
      <c r="B466" s="127"/>
      <c r="C466" s="126"/>
    </row>
    <row r="467">
      <c r="A467" s="126"/>
      <c r="B467" s="127"/>
      <c r="C467" s="126"/>
    </row>
    <row r="468">
      <c r="A468" s="126"/>
      <c r="B468" s="127"/>
      <c r="C468" s="126"/>
    </row>
    <row r="469">
      <c r="A469" s="126"/>
      <c r="B469" s="127"/>
      <c r="C469" s="126"/>
    </row>
    <row r="470">
      <c r="A470" s="126"/>
      <c r="B470" s="127"/>
      <c r="C470" s="126"/>
    </row>
    <row r="471">
      <c r="A471" s="126"/>
      <c r="B471" s="127"/>
      <c r="C471" s="126"/>
    </row>
    <row r="472">
      <c r="A472" s="126"/>
      <c r="B472" s="127"/>
      <c r="C472" s="126"/>
    </row>
    <row r="473">
      <c r="A473" s="126"/>
      <c r="B473" s="127"/>
      <c r="C473" s="126"/>
    </row>
    <row r="474">
      <c r="A474" s="126"/>
      <c r="B474" s="127"/>
      <c r="C474" s="126"/>
    </row>
    <row r="475">
      <c r="A475" s="126"/>
      <c r="B475" s="127"/>
      <c r="C475" s="126"/>
    </row>
    <row r="476">
      <c r="A476" s="126"/>
      <c r="B476" s="127"/>
      <c r="C476" s="126"/>
    </row>
    <row r="477">
      <c r="A477" s="126"/>
      <c r="B477" s="127"/>
      <c r="C477" s="126"/>
    </row>
    <row r="478">
      <c r="A478" s="126"/>
      <c r="B478" s="127"/>
      <c r="C478" s="126"/>
    </row>
    <row r="479">
      <c r="A479" s="126"/>
      <c r="B479" s="127"/>
      <c r="C479" s="126"/>
    </row>
    <row r="480">
      <c r="A480" s="126"/>
      <c r="B480" s="127"/>
      <c r="C480" s="126"/>
    </row>
    <row r="481">
      <c r="A481" s="126"/>
      <c r="B481" s="127"/>
      <c r="C481" s="126"/>
    </row>
    <row r="482">
      <c r="A482" s="126"/>
      <c r="B482" s="127"/>
      <c r="C482" s="126"/>
    </row>
    <row r="483">
      <c r="A483" s="126"/>
      <c r="B483" s="127"/>
      <c r="C483" s="126"/>
    </row>
    <row r="484">
      <c r="A484" s="126"/>
      <c r="B484" s="127"/>
      <c r="C484" s="126"/>
    </row>
    <row r="485">
      <c r="A485" s="126"/>
      <c r="B485" s="127"/>
      <c r="C485" s="126"/>
    </row>
    <row r="486">
      <c r="A486" s="126"/>
      <c r="B486" s="127"/>
      <c r="C486" s="126"/>
    </row>
    <row r="487">
      <c r="A487" s="126"/>
      <c r="B487" s="127"/>
      <c r="C487" s="126"/>
    </row>
    <row r="488">
      <c r="A488" s="126"/>
      <c r="B488" s="127"/>
      <c r="C488" s="126"/>
    </row>
    <row r="489">
      <c r="A489" s="126"/>
      <c r="B489" s="127"/>
      <c r="C489" s="126"/>
    </row>
    <row r="490">
      <c r="A490" s="126"/>
      <c r="B490" s="127"/>
      <c r="C490" s="126"/>
    </row>
    <row r="491">
      <c r="A491" s="126"/>
      <c r="B491" s="127"/>
      <c r="C491" s="126"/>
    </row>
    <row r="492">
      <c r="A492" s="126"/>
      <c r="B492" s="127"/>
      <c r="C492" s="126"/>
    </row>
    <row r="493">
      <c r="A493" s="126"/>
      <c r="B493" s="127"/>
      <c r="C493" s="126"/>
    </row>
    <row r="494">
      <c r="A494" s="126"/>
      <c r="B494" s="127"/>
      <c r="C494" s="126"/>
    </row>
    <row r="495">
      <c r="A495" s="126"/>
      <c r="B495" s="127"/>
      <c r="C495" s="126"/>
    </row>
    <row r="496">
      <c r="A496" s="126"/>
      <c r="B496" s="127"/>
      <c r="C496" s="126"/>
    </row>
    <row r="497">
      <c r="A497" s="126"/>
      <c r="B497" s="127"/>
      <c r="C497" s="126"/>
    </row>
    <row r="498">
      <c r="A498" s="126"/>
      <c r="B498" s="127"/>
      <c r="C498" s="126"/>
    </row>
    <row r="499">
      <c r="A499" s="126"/>
      <c r="B499" s="127"/>
      <c r="C499" s="126"/>
    </row>
    <row r="500">
      <c r="A500" s="126"/>
      <c r="B500" s="127"/>
      <c r="C500" s="126"/>
    </row>
    <row r="501">
      <c r="A501" s="126"/>
      <c r="B501" s="127"/>
      <c r="C501" s="126"/>
    </row>
    <row r="502">
      <c r="A502" s="126"/>
      <c r="B502" s="127"/>
      <c r="C502" s="126"/>
    </row>
    <row r="503">
      <c r="A503" s="126"/>
      <c r="B503" s="127"/>
      <c r="C503" s="126"/>
    </row>
    <row r="504">
      <c r="A504" s="126"/>
      <c r="B504" s="127"/>
      <c r="C504" s="126"/>
    </row>
    <row r="505">
      <c r="A505" s="126"/>
      <c r="B505" s="127"/>
      <c r="C505" s="126"/>
    </row>
    <row r="506">
      <c r="A506" s="126"/>
      <c r="B506" s="127"/>
      <c r="C506" s="126"/>
    </row>
  </sheetData>
  <drawing r:id="rId1"/>
</worksheet>
</file>